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Plan détaillé" sheetId="2" state="visible" r:id="rId4"/>
    <sheet name="Synthèse hebdo" sheetId="3" state="visible" r:id="rId5"/>
    <sheet name="Suivi &amp; ajustement" sheetId="4" state="visible" r:id="rId6"/>
    <sheet name="Allures" sheetId="5" state="visible" r:id="rId7"/>
    <sheet name="Courses montagne" sheetId="6" state="visible" r:id="rId8"/>
    <sheet name="Exercices Hyrox" sheetId="7" state="visible" r:id="rId9"/>
  </sheets>
  <definedNames>
    <definedName function="false" hidden="true" localSheetId="1" name="_xlnm._FilterDatabase" vbProcedure="false">'Plan détaillé'!$A$1:$R$244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<sst xmlns="http://schemas.openxmlformats.org/spreadsheetml/2006/main" count="1774" uniqueCount="632">
  <si>
    <t xml:space="preserve">CE QUE J'AI FUSIONNÉ</t>
  </si>
  <si>
    <t xml:space="preserve">Plan A (le nôtre)</t>
  </si>
  <si>
    <t xml:space="preserve">Semi-marathon 22/11, Hyrox 2×/sem, natation en volume pur jusqu'à 6 000 m, vélo en variable d'ajustement, plancher 8h, plancher 10 km par sortie, série montagne toutes les 3 semaines.</t>
  </si>
  <si>
    <t xml:space="preserve">Plan B (ton fichier)</t>
  </si>
  <si>
    <t xml:space="preserve">Objectif 10 km en 36:00–36:30, trois courses de préparation, fractionné du mercredi, Hyrox light, natation 1 → 5 km.</t>
  </si>
  <si>
    <t xml:space="preserve">Résultat</t>
  </si>
  <si>
    <t xml:space="preserve">Un seul plan de 30 semaines. Bloc semi jusqu'au 22/11, puis bascule vitesse 10 km jusqu'au 21 mars. Les deux objectifs sont menés en parallèle comme tu l'as demandé — avec les conséquences listées plus bas.</t>
  </si>
  <si>
    <t xml:space="preserve">CE QUE J'AI CORRIGÉ DANS TON FICHIER</t>
  </si>
  <si>
    <t xml:space="preserve">Les trois dates de course</t>
  </si>
  <si>
    <t xml:space="preserve">Ton fichier annonce « dimanche 30/11/2026 », « dimanche 16/02/2027 » et « dimanche 23/03/2027 ». Aucune des trois n'est un dimanche : ce sont un lundi, un mardi et un mardi. J'ai retenu les dimanches les plus proches : 29/11/2026, 14/02/2027 et 21/03/2027. Vérifie les dates réelles de tes dossards.</t>
  </si>
  <si>
    <t xml:space="preserve">Les allures d'endurance — CORRECTION</t>
  </si>
  <si>
    <t xml:space="preserve">Je t'avais dit que les 6:30–7:00/km de ton fichier étaient faux. J'avais tort : ils sont cohérents avec ton niveau de départ (52 min au 10 km). Ce qui manquait, c'est que les allures ne peuvent pas rester fixes sur 30 semaines quand on part de 52 min pour viser 36 min. L'onglet Allures fonctionne donc avec DEUX références, actuelle et cible, et fait glisser les zones bloc par bloc : ton endurance part à 6:27/km et finit à 4:51/km.</t>
  </si>
  <si>
    <t xml:space="preserve">Les cibles des trois 10 km</t>
  </si>
  <si>
    <t xml:space="preserve">Recalculées depuis ton point de départ réel de 52 min : 46–48 min le 29/11, 40–42 min le 14/02, 36:00–36:30 le 21/03. Ton fichier annonçait 38-39 dès la première course — treize semaines après une reprise à 52 min, ce n'est pas atteignable.</t>
  </si>
  <si>
    <t xml:space="preserve">Le semi du 22/11</t>
  </si>
  <si>
    <t xml:space="preserve">À la référence du bloc B (10 km ≈ 47:30), le semi se court vers 5:00/km, soit 1h45 à 1h52. C'est un repère, pas un chrono.</t>
  </si>
  <si>
    <t xml:space="preserve">Le jour de repos</t>
  </si>
  <si>
    <t xml:space="preserve">Ton fichier ne contient aucun jour de repos sur 26 semaines. Le dimanche reste vide dans ce plan, sauf les quatre jours de course.</t>
  </si>
  <si>
    <t xml:space="preserve">CE QUE TES CONTRAINTES COÛTENT</t>
  </si>
  <si>
    <t xml:space="preserve">Douze mois d'arrêt</t>
  </si>
  <si>
    <t xml:space="preserve">C'est l'information qui change tout, et elle contredit tout ce qu'on avait bâti avant. Le réamorçage passe de 3 à 6 semaines, la première séance de qualité n'arrive qu'en semaine 7, et il n'y a que deux sorties de course par semaine jusqu'à la semaine 7.</t>
  </si>
  <si>
    <t xml:space="preserve">Le 25 km du 29 août</t>
  </si>
  <si>
    <t xml:space="preserve">Remplacé par le 16 km de la même course, même jour, même lieu. Après douze mois d'arrêt, 25 km en montagne te coûteraient trois semaines de reprise pour zéro bénéfice. Si tu maintiens le 25 km, sache que c'est un choix contre le plan.</t>
  </si>
  <si>
    <t xml:space="preserve">La sortie montagne du 19/09</t>
  </si>
  <si>
    <t xml:space="preserve">30 km à la troisième semaine, soit plus du double de ta plus longue sortie à ce jour. C'est le point le plus fragile du plan. Si tu devais couper une chose, c'est celle-là.</t>
  </si>
  <si>
    <t xml:space="preserve">La sortie montagne du 12/12</t>
  </si>
  <si>
    <t xml:space="preserve">41 km en pleine préparation de vitesse 10 km. Deux entraînements qui s'annulent. Elle est dans le plan parce que tu l'as demandée, pas parce qu'elle sert l'objectif de mars.</t>
  </si>
  <si>
    <t xml:space="preserve">Le plancher de 8h</t>
  </si>
  <si>
    <t xml:space="preserve">Tenu partout sauf les quatre semaines de course (S12, S13, S24, S29). Le volume manquant part au vélo en zone 2 : aucun impact au sol, donc aucun coût tendineux.</t>
  </si>
  <si>
    <t xml:space="preserve">Le plancher de 10 km par sortie</t>
  </si>
  <si>
    <t xml:space="preserve">Tenu. Conséquence : on progresse par le nombre de sorties, pas par leur longueur — deux sorties jusqu'en semaine 6, trois ensuite.</t>
  </si>
  <si>
    <t xml:space="preserve">36:00 en mars</t>
  </si>
  <si>
    <t xml:space="preserve">52 min fin août, 36:00 le 21 mars : seize minutes en trente semaines, pour un athlète qui avait 34 min avant la coupure. C'est une reconstruction, pas une progression — et c'est précisément ce qui la rend plausible. Deux juges de paix : le test de 30' en semaine 5, et la course du 14/02. Sous 40 min en février, 36:30 tient.</t>
  </si>
  <si>
    <t xml:space="preserve">LES QUATRE COURSES</t>
  </si>
  <si>
    <t xml:space="preserve">Dimanche 22/11/2026</t>
  </si>
  <si>
    <t xml:space="preserve">Semi-marathon — cible 1h45 à 1h52, course d'allure et repère</t>
  </si>
  <si>
    <t xml:space="preserve">Dimanche 29/11/2026</t>
  </si>
  <si>
    <t xml:space="preserve">10 km n°1 — cible 46 à 48 min, reconnaissance</t>
  </si>
  <si>
    <t xml:space="preserve">Dimanche 14/02/2027</t>
  </si>
  <si>
    <t xml:space="preserve">10 km n°2 — cible 40 à 42 min, course qui fixe l'objectif final</t>
  </si>
  <si>
    <t xml:space="preserve">Dimanche 21/03/2027</t>
  </si>
  <si>
    <t xml:space="preserve">10 km n°3 — OBJECTIF, cible 36:00 à 36:30</t>
  </si>
  <si>
    <t xml:space="preserve">COMMENT UTILISER CE FICHIER</t>
  </si>
  <si>
    <t xml:space="preserve">Plan détaillé</t>
  </si>
  <si>
    <t xml:space="preserve">Une ligne par séance. Colonnes jaunes à remplir : Fait, RPE ressenti, Notes.</t>
  </si>
  <si>
    <t xml:space="preserve">Synthèse hebdo</t>
  </si>
  <si>
    <t xml:space="preserve">Se recalcule seule : volume par discipline, kilométrage, mètres nagés, charge planifiée vs réelle.</t>
  </si>
  <si>
    <t xml:space="preserve">Allures</t>
  </si>
  <si>
    <t xml:space="preserve">Deux références : ton allure 10 km actuelle (52 min) et ta cible (36 min). Les huit zones glissent bloc par bloc, et la colonne « Allures cibles » du Plan détaillé suit automatiquement.</t>
  </si>
  <si>
    <t xml:space="preserve">Courses montagne</t>
  </si>
  <si>
    <t xml:space="preserve">Les cinq sorties longues en montagne et les courses correspondantes autour de Wrocław.</t>
  </si>
  <si>
    <t xml:space="preserve">Exercices Hyrox</t>
  </si>
  <si>
    <t xml:space="preserve">Chaque station expliquée : standard officiel, technique, erreur classique.</t>
  </si>
  <si>
    <t xml:space="preserve">ÉCHELLE RPE</t>
  </si>
  <si>
    <t xml:space="preserve">1-2</t>
  </si>
  <si>
    <t xml:space="preserve">Très facile — récupération, nage souple</t>
  </si>
  <si>
    <t xml:space="preserve">3-4</t>
  </si>
  <si>
    <t xml:space="preserve">Facile — endurance fondamentale</t>
  </si>
  <si>
    <t xml:space="preserve">5-6</t>
  </si>
  <si>
    <t xml:space="preserve">Modéré — endurance active</t>
  </si>
  <si>
    <t xml:space="preserve">7</t>
  </si>
  <si>
    <t xml:space="preserve">Difficile — seuil</t>
  </si>
  <si>
    <t xml:space="preserve">8</t>
  </si>
  <si>
    <t xml:space="preserve">Très difficile — allure 10 km, VMA</t>
  </si>
  <si>
    <t xml:space="preserve">9</t>
  </si>
  <si>
    <t xml:space="preserve">Quasi maximal — test, 400 m</t>
  </si>
  <si>
    <t xml:space="preserve">10</t>
  </si>
  <si>
    <t xml:space="preserve">Maximal — course</t>
  </si>
  <si>
    <t xml:space="preserve">Charge</t>
  </si>
  <si>
    <t xml:space="preserve">Charge = durée (min) × RPE. À lire en relatif d'une semaine à l'autre.</t>
  </si>
  <si>
    <t xml:space="preserve">Semaine</t>
  </si>
  <si>
    <t xml:space="preserve">Phase</t>
  </si>
  <si>
    <t xml:space="preserve">Date</t>
  </si>
  <si>
    <t xml:space="preserve">Jour</t>
  </si>
  <si>
    <t xml:space="preserve">Discipline</t>
  </si>
  <si>
    <t xml:space="preserve">Séance</t>
  </si>
  <si>
    <t xml:space="preserve">Durée (min)</t>
  </si>
  <si>
    <t xml:space="preserve">Course (km)</t>
  </si>
  <si>
    <t xml:space="preserve">Natation (m)</t>
  </si>
  <si>
    <t xml:space="preserve">Zones d'allure</t>
  </si>
  <si>
    <t xml:space="preserve">Allures cibles (min/km)</t>
  </si>
  <si>
    <t xml:space="preserve">RPE cible</t>
  </si>
  <si>
    <t xml:space="preserve">Charge planifiée</t>
  </si>
  <si>
    <t xml:space="preserve">Détail de la séance</t>
  </si>
  <si>
    <t xml:space="preserve">Fait (x)</t>
  </si>
  <si>
    <t xml:space="preserve">RPE ressenti</t>
  </si>
  <si>
    <t xml:space="preserve">Charge réelle</t>
  </si>
  <si>
    <t xml:space="preserve">Notes</t>
  </si>
  <si>
    <t xml:space="preserve">Avant le plan</t>
  </si>
  <si>
    <t xml:space="preserve">Samedi</t>
  </si>
  <si>
    <t xml:space="preserve">Course à pied</t>
  </si>
  <si>
    <t xml:space="preserve">CAP · MONTAGNE — 16 km · course</t>
  </si>
  <si>
    <t xml:space="preserve">Montagne</t>
  </si>
  <si>
    <t xml:space="preserve">&lt;b&gt;Course : Bieg Jaskiniowego Niedźwiedzia&lt;/b&gt; — Kletno, Masyw Śnieżnika, samedi 29/08/2026. Sortie d'ouverture, deux jours avant le début du plan. Après douze mois d'arrêt, prends le 16 km, pas le 25 : marche dès que la pente dépasse 8 %, ravitaillement toutes les 45 minutes, et de quoi rentrer si ça tourne mal. Dimanche et lundi sont des jours de repos réels.</t>
  </si>
  <si>
    <t xml:space="preserve">Dimanche</t>
  </si>
  <si>
    <t xml:space="preserve">Repos</t>
  </si>
  <si>
    <t xml:space="preserve">Repos complet</t>
  </si>
  <si>
    <t xml:space="preserve">Repos complet obligatoire.</t>
  </si>
  <si>
    <t xml:space="preserve">Réamorçage · coupure pro</t>
  </si>
  <si>
    <t xml:space="preserve">Lundi</t>
  </si>
  <si>
    <t xml:space="preserve">Hyrox</t>
  </si>
  <si>
    <t xml:space="preserve">Hyrox n°1 · Force</t>
  </si>
  <si>
    <t xml:space="preserve">Échauffement 12' (rameur souple, mobilité hanches et chevilles). Air squat 3 × 15, goblet squat 3 × 12 léger, hip thrust 3 × 12, tirage horizontal 3 × 12. Ski erg 4 × 250 m. Farmer's carry 3 × 30 m. Gainage 12'. &lt;b&gt;Aucun sled.&lt;/b&gt; Deux jours après les 16 km de montagne : si les jambes sont marquées, tu enlèves 30 % de charge sans discuter. C'est ta dernière séance en salle avant quatre jours d'arrêt.</t>
  </si>
  <si>
    <t xml:space="preserve">Mardi (matin)</t>
  </si>
  <si>
    <t xml:space="preserve">Natation</t>
  </si>
  <si>
    <t xml:space="preserve">Natation · Volume — séries longues</t>
  </si>
  <si>
    <t xml:space="preserve">400 · 5 × 300 (r 20") · 3 × 100 · 200. ≈ 2 400 m. Légèrement allongée par rapport au plan initial : c'est ta dernière séance en bassin avant la coupure.</t>
  </si>
  <si>
    <t xml:space="preserve">Mardi (soir)</t>
  </si>
  <si>
    <t xml:space="preserve">Vélo</t>
  </si>
  <si>
    <t xml:space="preserve">Vélo · Endurance longue</t>
  </si>
  <si>
    <t xml:space="preserve">1h30 en zone 2, cadence 85 à 95, aucune bosse en force. Allongée de 25 minutes : c'est le dernier volume aérobie de la semaine. Home trainer ou route, peu importe.</t>
  </si>
  <si>
    <t xml:space="preserve">Mercredi</t>
  </si>
  <si>
    <t xml:space="preserve">Déplacement professionnel — aucun entraînement</t>
  </si>
  <si>
    <t xml:space="preserve">&lt;b&gt;Coupure imposée du 2 au 5 septembre.&lt;/b&gt; Rien à faire, rien à compenser. Ce qui compte ces quatre jours : dormir correctement malgré les horaires, boire, et marcher dès que tu peux au lieu de prendre un taxi. Aucune séance de rattrapage au retour.</t>
  </si>
  <si>
    <t xml:space="preserve">Jeudi</t>
  </si>
  <si>
    <t xml:space="preserve">Jour 2 sur 4.</t>
  </si>
  <si>
    <t xml:space="preserve">Vendredi</t>
  </si>
  <si>
    <t xml:space="preserve">Jour 3 sur 4.</t>
  </si>
  <si>
    <t xml:space="preserve">Jour 4 sur 4. La sortie longue de la semaine est annulée, pas décalée : on ne rattrape pas 12 km au retour d'un déplacement, on reprend là où le plan en est.</t>
  </si>
  <si>
    <t xml:space="preserve">CAP · Footing de reprise</t>
  </si>
  <si>
    <t xml:space="preserve">EF</t>
  </si>
  <si>
    <t xml:space="preserve">65' en endurance fondamentale, 10 km, allure unique. &lt;b&gt;Le dimanche devient un jour d'entraînement cette semaine-là&lt;/b&gt; — après quatre jours de coupure, tu n'as pas besoin du jour de repos habituel. Séance de remise en route pure : aucune allure imposée, aucune ligne droite, rien.</t>
  </si>
  <si>
    <t xml:space="preserve">Réamorçage long</t>
  </si>
  <si>
    <t xml:space="preserve">Échauffement 12' (rameur souple, mobilité hanches et chevilles). Squat 3 × 12 léger, soulevé de terre roumain 3 × 10, hip thrust 3 × 12. &lt;b&gt;Aucun sled : après douze mois d'arrêt, on apprend les positions avant de charger.&lt;/b&gt; Ski erg 4 × 250 m. Farmer's carry 3 × 30 m. Gainage 12'.</t>
  </si>
  <si>
    <t xml:space="preserve">400 · 5 × 300 (r 20") · 3 × 100 · 200. ≈ 2 400 m. Nage continue, aucune technique isolée : séance de volume.</t>
  </si>
  <si>
    <t xml:space="preserve">Vélo · Endurance</t>
  </si>
  <si>
    <t xml:space="preserve">Endurance stricte en zone 2 : allure conversation, cadence 85 à 95, aucune bosse en force. Home trainer ou route — c'est du volume aérobie sans impact, rien d'autre.</t>
  </si>
  <si>
    <t xml:space="preserve">CAP · Footing d'endurance</t>
  </si>
  <si>
    <t xml:space="preserve">58' en endurance fondamentale, allure unique, terrain plat. 10 km. 6 × 20" de lignes droites relâchées en fin de séance.</t>
  </si>
  <si>
    <t xml:space="preserve">Hyrox n°2 · Circuit aérobie</t>
  </si>
  <si>
    <t xml:space="preserve">3 tours à allure conversation : 500 m rameur · 15 wall balls · 400 m course · 10 burpees · 30 m farmers. Récupération 2'.</t>
  </si>
  <si>
    <t xml:space="preserve">Vendredi (matin)</t>
  </si>
  <si>
    <t xml:space="preserve">Natation · Volume — densité</t>
  </si>
  <si>
    <t xml:space="preserve">300 · 12 × 100 (r 15") · 6 × 50. ≈ 1 800 m. Récupérations courtes, allure constante.</t>
  </si>
  <si>
    <t xml:space="preserve">Vendredi (soir)</t>
  </si>
  <si>
    <t xml:space="preserve">Vélo · Déverrouillage</t>
  </si>
  <si>
    <t xml:space="preserve">Déverrouillage en zone 1-2, home trainer suffisant. Cadence haute, faible couple. Si tu as des watts en tête, tu t'es trompé de séance.</t>
  </si>
  <si>
    <t xml:space="preserve">CAP · Sortie longue</t>
  </si>
  <si>
    <t xml:space="preserve">75' en endurance fondamentale, allure unique, terrain plat. 13 km. Aucune allure imposée : après douze mois d'arrêt, la sortie longue construit du tendon, pas du cardio.</t>
  </si>
  <si>
    <t xml:space="preserve">Repos complet. Option : 20' de mobilité.</t>
  </si>
  <si>
    <t xml:space="preserve">Échauffement 12' (rameur souple, mobilité hanches et chevilles). Squat 4 × 8, soulevé de terre roumain 3 × 10, fentes bulgares 3 × 10 par jambe. Sled push 4 × 15 m à vide ou très léger, technique seulement. Ski erg 5 × 250 m. Farmer's carry 4 × 40 m. Gainage 12'.</t>
  </si>
  <si>
    <t xml:space="preserve">Mardi</t>
  </si>
  <si>
    <t xml:space="preserve">400 · 4 × 400 (r 25") · 4 × 100 · 200. ≈ 2 600 m. Nage continue, aucune technique isolée : séance de volume.</t>
  </si>
  <si>
    <t xml:space="preserve">63' en endurance fondamentale, allure unique, terrain plat. 11 km. 6 × 20" de lignes droites relâchées en fin de séance.</t>
  </si>
  <si>
    <t xml:space="preserve">Hyrox n°2 · Allégé (semaine montagne)</t>
  </si>
  <si>
    <t xml:space="preserve">3 blocs seulement : 400 m souple + 1 station. La sortie montagne est la priorité absolue de la semaine.</t>
  </si>
  <si>
    <t xml:space="preserve">300 · 8 × 200 (r 20") · 100. ≈ 2 000 m. Récupérations courtes, allure constante.</t>
  </si>
  <si>
    <t xml:space="preserve">CAP · MONTAGNE — 30 km · course</t>
  </si>
  <si>
    <t xml:space="preserve">&lt;b&gt;Course : Przejście Nocna 30 — 30 km&lt;/b&gt; — Départ Piechowice, arrivée Szklarska Poręba, 18–20/09/2026, course de nuit. &lt;b&gt;+14 km sur la précédente.&lt;/b&gt; C'est le saut le plus violent de tout le plan et il arrive à la troisième semaine. Effort constant, marche en côte assumée, aucune notion d'allure. Objectif : finir, pas courir.</t>
  </si>
  <si>
    <t xml:space="preserve">Repos complet après la montagne.</t>
  </si>
  <si>
    <t xml:space="preserve">Réamorçage · allégée</t>
  </si>
  <si>
    <t xml:space="preserve">400 · 5 × 400 (r 25") · 2 × 100 · 200. ≈ 2 800 m. Nage continue, aucune technique isolée : séance de volume.</t>
  </si>
  <si>
    <t xml:space="preserve">Hyrox n°2 · Course dégradée</t>
  </si>
  <si>
    <t xml:space="preserve">5 blocs : 400 m à allure 10 km + 1 station (ski 500 m / 20 wall balls / 40 m farmers / rameur 500 m / 20 m fentes sandbag). Récupération 90".</t>
  </si>
  <si>
    <t xml:space="preserve">300 · 9 × 200 (r 20") · 100. ≈ 2 200 m. Récupérations courtes, allure constante.</t>
  </si>
  <si>
    <t xml:space="preserve">70' en endurance fondamentale, allure unique, terrain plat. 12 km. Aucune allure imposée : après douze mois d'arrêt, la sortie longue construit du tendon, pas du cardio.</t>
  </si>
  <si>
    <t xml:space="preserve">Échauffement 12' (rameur souple, mobilité hanches et chevilles). Squat 4 × 6, soulevé de terre roumain 4 × 8, fentes bulgares 3 × 12 par jambe. Sled push et pull 4 × 15 m, charge modérée — premières charges réelles. Ski erg 4 × 500 m. Farmer's carry 4 × 40 m. Gainage 12'.</t>
  </si>
  <si>
    <t xml:space="preserve">400 · 4 × 500 (r 30") · 4 × 100 · 200. ≈ 3 000 m. Nage continue, aucune technique isolée : séance de volume.</t>
  </si>
  <si>
    <t xml:space="preserve">CAP · TEST 30' contre-la-montre</t>
  </si>
  <si>
    <t xml:space="preserve">Test 30'</t>
  </si>
  <si>
    <t xml:space="preserve">20' échauffement avec 4 × 30" progressifs · 30' à l'effort maximal soutenable · 10' retour au calme. 11 km. Ce test tranche tout : ton allure moyenne sur 30' est ton allure seuil, et ton allure 10 km se situe environ 10 s/km plus rapide. Reporte-la dans l'onglet Allures — les 24 semaines suivantes se recalent dessus.</t>
  </si>
  <si>
    <t xml:space="preserve">300 · 10 × 200 (r 20") · 100. ≈ 2 400 m. Récupérations courtes, allure constante.</t>
  </si>
  <si>
    <t xml:space="preserve">85' en endurance fondamentale, allure unique, terrain plat. 15 km. Aucune allure imposée : après douze mois d'arrêt, la sortie longue construit du tendon, pas du cardio.</t>
  </si>
  <si>
    <t xml:space="preserve">400 · 3 × 600 (r 30") · 8 × 100 · 200. ≈ 3 200 m. Nage continue, aucune technique isolée : séance de volume.</t>
  </si>
  <si>
    <t xml:space="preserve">68' en endurance fondamentale, allure unique, terrain plat. 12 km. Puis 6 × 30" en côte souple, retour en marche.</t>
  </si>
  <si>
    <t xml:space="preserve">300 · 7 × 300 (r 25") · 200. ≈ 2 600 m. Récupérations courtes, allure constante.</t>
  </si>
  <si>
    <t xml:space="preserve">Repos — veille de course</t>
  </si>
  <si>
    <t xml:space="preserve">Repos ou 20' de déverrouillage. Route jusqu'à Piechowice, retrait du dossard.</t>
  </si>
  <si>
    <t xml:space="preserve">CAP · MONTAGNE — 35 km · course</t>
  </si>
  <si>
    <t xml:space="preserve">&lt;b&gt;Course : UltraKotlina UK30 — 35 km&lt;/b&gt; — Départ Piechowice, Karkonosze et Góry Izerskie, dimanche 11/10/2026. &lt;b&gt;+5 km.&lt;/b&gt; La nutrition devient le facteur limitant : 60 g de glucides par heure dès la deuxième heure. Descentes contrôlées.</t>
  </si>
  <si>
    <t xml:space="preserve">Construction semi</t>
  </si>
  <si>
    <t xml:space="preserve">Échauffement 12' (rameur souple, mobilité hanches et chevilles). Squat 4 × 5 lourd, soulevé de terre roumain 4 × 8, fentes bulgares 3 × 12 par jambe. Sled push et pull 5 × 15 m à charge de compétition. Ski erg 5 × 500 m. Farmer's carry 5 × 50 m. Gainage 12'.</t>
  </si>
  <si>
    <t xml:space="preserve">400 · 2 × 800 (r 40") · 8 × 100 · 200. ≈ 3 000 m. Nage continue, aucune technique isolée : séance de volume.</t>
  </si>
  <si>
    <t xml:space="preserve">CAP · Seuil — 5 × 3'</t>
  </si>
  <si>
    <t xml:space="preserve">EF · Seuil</t>
  </si>
  <si>
    <t xml:space="preserve">20' échauffement · 5 × 3' au seuil, récupération 1'30 en trot · 15' retour au calme. 12 km. Première séance de qualité du plan.</t>
  </si>
  <si>
    <t xml:space="preserve">6 blocs : 400 m + 1 station, rotation complète. Récupération 90". Note ton temps total, il sert de repère d'une semaine à l'autre.</t>
  </si>
  <si>
    <t xml:space="preserve">300 · 7 × 300 (r 25"). ≈ 2 400 m. Récupérations courtes, allure constante.</t>
  </si>
  <si>
    <t xml:space="preserve">CAP · Footing de récupération</t>
  </si>
  <si>
    <t xml:space="preserve">Récup</t>
  </si>
  <si>
    <t xml:space="preserve">58' en allure de récupération stricte. 10 km. Si tu la cours plus vite, elle devient une troisième séance dure.</t>
  </si>
  <si>
    <t xml:space="preserve">EF · End. active</t>
  </si>
  <si>
    <t xml:space="preserve">97' dont 2 × 8' en endurance active. 17 km.</t>
  </si>
  <si>
    <t xml:space="preserve">400 · 3 × 800 (r 40") · 6 × 100 · 200. ≈ 3 600 m. Nage continue, aucune technique isolée : séance de volume.</t>
  </si>
  <si>
    <t xml:space="preserve">CAP · Seuil — 3 × 8'</t>
  </si>
  <si>
    <t xml:space="preserve">20' échauffement · 3 × 8' au seuil, récupération 3' · 15' retour au calme. 13 km.</t>
  </si>
  <si>
    <t xml:space="preserve">300 · 8 × 300 (r 25") · 100. ≈ 2 800 m. Récupérations courtes, allure constante.</t>
  </si>
  <si>
    <t xml:space="preserve">58' en récupération stricte. 10 km.</t>
  </si>
  <si>
    <t xml:space="preserve">108' dont 3 × 8' en endurance active sur la seconde moitié. 19 km.</t>
  </si>
  <si>
    <t xml:space="preserve">400 · 2 × 1000 (r 45") · 6 × 200 · 200. ≈ 3 800 m. Nage continue, aucune technique isolée : séance de volume.</t>
  </si>
  <si>
    <t xml:space="preserve">CAP · VMA — 5 × 1000 m</t>
  </si>
  <si>
    <t xml:space="preserve">EF · All. 5 km / VMA</t>
  </si>
  <si>
    <t xml:space="preserve">20' échauffement + 4 lignes droites · 5 × 1000 m à allure 5 km, récupération 2' · 15' retour au calme. 13 km.</t>
  </si>
  <si>
    <t xml:space="preserve">300 · 9 × 300 (r 25"). ≈ 3 000 m. Récupérations courtes, allure constante.</t>
  </si>
  <si>
    <t xml:space="preserve">CAP · MONTAGNE — 37 km</t>
  </si>
  <si>
    <t xml:space="preserve">&lt;b&gt;Pas de course à cette date.&lt;/b&gt; Option : Sowiogórski Festiwal Biegowy — 30 km, Pieszyce, Góry Sowie, samedi 24/10/2026, départ 10h00 — voir l'onglet Courses montagne. &lt;b&gt;+2 km.&lt;/b&gt; La plus longue avant le semi, à trois semaines de la course. Pic de charge du bloc automne.</t>
  </si>
  <si>
    <t xml:space="preserve">Construction · allégée</t>
  </si>
  <si>
    <t xml:space="preserve">400 · 2 × 1000 (r 45") · 4 × 200 · 200. ≈ 3 400 m. Nage continue, aucune technique isolée : séance de volume.</t>
  </si>
  <si>
    <t xml:space="preserve">CAP · Seuil — 2 × 10'</t>
  </si>
  <si>
    <t xml:space="preserve">20' échauffement · 2 × 10' au seuil, récupération 3' · 12' retour au calme. 11 km. Semaine allégée.</t>
  </si>
  <si>
    <t xml:space="preserve">300 · 5 × 400 (r 30") · 300. ≈ 2 600 m. Récupérations courtes, allure constante.</t>
  </si>
  <si>
    <t xml:space="preserve">CAP · Sortie longue courte</t>
  </si>
  <si>
    <t xml:space="preserve">85' souple. 15 km.</t>
  </si>
  <si>
    <t xml:space="preserve">400 · 3 × 1000 (r 45") · 2 × 100 · 200. ≈ 4 000 m. Nage continue, aucune technique isolée : séance de volume.</t>
  </si>
  <si>
    <t xml:space="preserve">CAP · Seuil + allure semi</t>
  </si>
  <si>
    <t xml:space="preserve">EF · Seuil · All. semi</t>
  </si>
  <si>
    <t xml:space="preserve">20' échauffement · 15' seuil · 5' trot · 3 km à allure semi · 12' retour au calme. 13 km. Si les 3 km à allure semi sont durs, ta cible du 22/11 est trop ambitieuse.</t>
  </si>
  <si>
    <t xml:space="preserve">300 · 7 × 400 (r 30") · 100. ≈ 3 200 m. Récupérations courtes, allure constante.</t>
  </si>
  <si>
    <t xml:space="preserve">CAP · Sortie longue d'affûtage</t>
  </si>
  <si>
    <t xml:space="preserve">EF · All. semi</t>
  </si>
  <si>
    <t xml:space="preserve">91' dont 15' à allure semi en fin. 16 km. Dernière sortie longue avant le semi.</t>
  </si>
  <si>
    <t xml:space="preserve">Semi-marathon</t>
  </si>
  <si>
    <t xml:space="preserve">Hyrox · Mobilité</t>
  </si>
  <si>
    <t xml:space="preserve">Mobilité complète, ski et rameur très souples 3 × 250 m, gainage léger. Aucune charge : semaine de course.</t>
  </si>
  <si>
    <t xml:space="preserve">400 · 3 × 400 souple · 4 × 100. ≈ 2 000 m. Nage continue, aucune technique isolée : séance de volume.</t>
  </si>
  <si>
    <t xml:space="preserve">CAP · Rappel d'allure</t>
  </si>
  <si>
    <t xml:space="preserve">20' échauffement · 4 × 2' à allure semi, récupération 2' · 15' retour au calme. 10 km.</t>
  </si>
  <si>
    <t xml:space="preserve">Rien. Prépare ton matériel et ton plan de ravitaillement.</t>
  </si>
  <si>
    <t xml:space="preserve">300 · 10 × 100 souple · 200. ≈ 1 500 m. Récupérations courtes, allure constante.</t>
  </si>
  <si>
    <t xml:space="preserve">Marche 20' maximum. Dernier gros repas glucidique le midi.</t>
  </si>
  <si>
    <t xml:space="preserve">SEMI-MARATHON</t>
  </si>
  <si>
    <t xml:space="preserve">All. semi</t>
  </si>
  <si>
    <t xml:space="preserve">Plan de course en trois tiers : 0–7 km à allure semi + 5"/km, 7–16 km à allure semi, 16–21 km tout ce qui reste. Ravitaillement au km 7 et au km 14. Tu pars de 52 min au 10 km fin août. Douze semaines plus tard, la référence est autour de 47:30 : le semi se court donc vers 5:00/km, soit &lt;b&gt;1h45 à 1h52&lt;/b&gt;. C'est un repère et une course d'allure, pas un chrono.</t>
  </si>
  <si>
    <t xml:space="preserve">Transition · 10 km n°1</t>
  </si>
  <si>
    <t xml:space="preserve">Reprise après le semi : squat 3 × 8 léger, RDL 3 × 10, ski 4 × 250 m, rameur 4 × 250 m, farmers 3 × 40 m. Pas de sled.</t>
  </si>
  <si>
    <t xml:space="preserve">400 · 5 × 400 souple (r 30") · 400 · 200. ≈ 3 000 m. Nage continue, aucune technique isolée : séance de volume.</t>
  </si>
  <si>
    <t xml:space="preserve">58' très souple. 10 km. Six jours après un semi : si les jambes protestent, tu marches sans discuter.</t>
  </si>
  <si>
    <t xml:space="preserve">Hyrox n°2 · Allégé</t>
  </si>
  <si>
    <t xml:space="preserve">3 blocs : 400 m souple + 1 station. Aucune recherche de temps.</t>
  </si>
  <si>
    <t xml:space="preserve">300 · 7 × 300 souple (r 25"). ≈ 2 400 m. Récupérations courtes, allure constante.</t>
  </si>
  <si>
    <t xml:space="preserve">COURSE 10 KM n°1</t>
  </si>
  <si>
    <t xml:space="preserve">All. 10 km</t>
  </si>
  <si>
    <t xml:space="preserve">Dimanche 29/11 — attention, le 30/11 de ton fichier est un lundi. Sept jours après le semi : reconnaissance, pas performance. Depuis 52 min fin août, la cible honnête ici est &lt;b&gt;46 à 48 min&lt;/b&gt; — ton fichier annonçait 38-39, ce n'est pas atteignable en treize semaines. Pars 10 s/km plus lent que la cible et accélère sur les trois derniers kilomètres.</t>
  </si>
  <si>
    <t xml:space="preserve">Bloc vitesse 10 km</t>
  </si>
  <si>
    <t xml:space="preserve">Échauffement 12' (rameur souple, mobilité hanches et chevilles). Squat 4 × 5, soulevé de terre roumain 3 × 8, fentes bulgares 3 × 10 par jambe. Sled push 4 × 15 m — &lt;b&gt;volume jambes volontairement réduit : le fractionné du mercredi passe avant.&lt;/b&gt; Ski erg 4 × 500 m. Farmer's carry 4 × 50 m. Gainage 12'.</t>
  </si>
  <si>
    <t xml:space="preserve">400 · 2 × 1500 (r 60") · 4 × 200 · 200. ≈ 4 400 m. Nage continue, aucune technique isolée : séance de volume.</t>
  </si>
  <si>
    <t xml:space="preserve">CAP · Fractionné — 4 × 4'</t>
  </si>
  <si>
    <t xml:space="preserve">EF · All. 10 km</t>
  </si>
  <si>
    <t xml:space="preserve">20' échauffement + 4 lignes droites · 4 × 4' à allure 10 km, récupération 2' en trot · 15' retour au calme. 13 km. C'est la séance qui construit le 10 km : si le RPE dépasse 8, tu ralentis de 10 s/km la fois suivante.</t>
  </si>
  <si>
    <t xml:space="preserve">5 blocs : 400 m à allure 10 km + 1 station. Récupération 90". Dans le bloc vitesse, cette séance sert de deuxième stimulus d'allure — pas de test de force.</t>
  </si>
  <si>
    <t xml:space="preserve">300 · 6 × 500 (r 40") · 300. ≈ 3 600 m. Récupérations courtes, allure constante.</t>
  </si>
  <si>
    <t xml:space="preserve">EF · All. marathon</t>
  </si>
  <si>
    <t xml:space="preserve">91' dont 3 × 8' à allure marathon sur la seconde moitié. 16 km.</t>
  </si>
  <si>
    <t xml:space="preserve">400 · 3 × 1500 (r 60") · 200. ≈ 5 000 m. Nage continue, aucune technique isolée : séance de volume.</t>
  </si>
  <si>
    <t xml:space="preserve">CAP · Fractionné — 5 × 4'</t>
  </si>
  <si>
    <t xml:space="preserve">20' échauffement + 4 lignes droites · 5 × 4' à allure 10 km, récupération 2' · 15' retour au calme. 13 km. C'est la séance qui construit le 10 km : si le RPE dépasse 8, tu ralentis de 10 s/km la fois suivante.</t>
  </si>
  <si>
    <t xml:space="preserve">300 · 7 × 500 (r 40") · 400. ≈ 4 200 m. Récupérations courtes, allure constante.</t>
  </si>
  <si>
    <t xml:space="preserve">CAP · MONTAGNE — 41 km</t>
  </si>
  <si>
    <t xml:space="preserve">&lt;b&gt;Pas de course à cette date.&lt;/b&gt; Option : Winter Trail Małopolska — 45 km, Mszana Dolna, Beskid Wyspowy, 12–13/12/2026 — voir l'onglet Courses montagne. &lt;b&gt;+4 km.&lt;/b&gt; Sortie la plus longue du plan — et la plus discutable : elle tombe en plein bloc de vitesse 10 km. Lis la note dans l'onglet Courses montagne avant de la caler.</t>
  </si>
  <si>
    <t xml:space="preserve">400 · 2 × 2000 (r 90") · 5 × 200 · 200. ≈ 5 600 m. Nage continue, aucune technique isolée : séance de volume.</t>
  </si>
  <si>
    <t xml:space="preserve">CAP · Fractionné — 3 × 8'</t>
  </si>
  <si>
    <t xml:space="preserve">20' échauffement + 4 lignes droites · 3 × 8' à allure 10 km + 8 s/km, récupération 3' · 15' retour au calme. 14 km. C'est la séance qui construit le 10 km : si le RPE dépasse 8, tu ralentis de 10 s/km la fois suivante.</t>
  </si>
  <si>
    <t xml:space="preserve">300 · 8 × 500 (r 40") · 300. ≈ 4 600 m. Récupérations courtes, allure constante.</t>
  </si>
  <si>
    <t xml:space="preserve">102' dont 3 × 8' à allure marathon sur la seconde moitié. 18 km.</t>
  </si>
  <si>
    <t xml:space="preserve">400 · 2 × 2000 (r 90") · 7 × 200 · 200. ≈ 6 000 m. Nage continue, aucune technique isolée : séance de volume.</t>
  </si>
  <si>
    <t xml:space="preserve">CAP · Fractionné — 8 × 1000 m</t>
  </si>
  <si>
    <t xml:space="preserve">20' échauffement + 4 lignes droites · 8 × 1000 m à allure 10 km, récupération 2' · 15' retour au calme. 14 km. C'est la séance qui construit le 10 km : si le RPE dépasse 8, tu ralentis de 10 s/km la fois suivante.</t>
  </si>
  <si>
    <t xml:space="preserve">300 · 6 × 800 (r 45"). ≈ 5 000 m. Récupérations courtes, allure constante.</t>
  </si>
  <si>
    <t xml:space="preserve">108' dont 3 × 8' à allure marathon sur la seconde moitié. 19 km.</t>
  </si>
  <si>
    <t xml:space="preserve">Bloc vitesse · allégée</t>
  </si>
  <si>
    <t xml:space="preserve">CAP · Fractionné — 2 × 10'</t>
  </si>
  <si>
    <t xml:space="preserve">20' échauffement + 4 lignes droites · 2 × 10' au seuil, récupération 4' — semaine allégée · 15' retour au calme. 12 km. C'est la séance qui construit le 10 km : si le RPE dépasse 8, tu ralentis de 10 s/km la fois suivante.</t>
  </si>
  <si>
    <t xml:space="preserve">300 · 7 × 500 (r 40") · 200. ≈ 4 000 m. Récupérations courtes, allure constante.</t>
  </si>
  <si>
    <t xml:space="preserve">85' souple. 15 km. Semaine allégée.</t>
  </si>
  <si>
    <t xml:space="preserve">400 · 2 × 1500 (r 60") · 6 × 200 · 200. ≈ 4 800 m. Nage continue, aucune technique isolée : séance de volume.</t>
  </si>
  <si>
    <t xml:space="preserve">CAP · Fractionné — 6 × 5'</t>
  </si>
  <si>
    <t xml:space="preserve">20' échauffement + 4 lignes droites · 6 × 5' à allure 10 km, récupération 2' · 15' retour au calme. 15 km. C'est la séance qui construit le 10 km : si le RPE dépasse 8, tu ralentis de 10 s/km la fois suivante.</t>
  </si>
  <si>
    <t xml:space="preserve">300 · 6 × 500 (r 40") · 400. ≈ 4 000 m. Récupérations courtes, allure constante.</t>
  </si>
  <si>
    <t xml:space="preserve">CAP · Fractionné — 10 × 800 m</t>
  </si>
  <si>
    <t xml:space="preserve">20' échauffement + 4 lignes droites · 10 × 800 m à allure 5 km, récupération 90" · 15' retour au calme. 15 km. C'est la séance qui construit le 10 km : si le RPE dépasse 8, tu ralentis de 10 s/km la fois suivante.</t>
  </si>
  <si>
    <t xml:space="preserve">114' dont 3 × 8' à allure marathon sur la seconde moitié. 20 km.</t>
  </si>
  <si>
    <t xml:space="preserve">400 · 2 × 1500 (r 60") · 6 × 200 · 200. ≈ 4 000 m. Nage continue, aucune technique isolée : séance de volume.</t>
  </si>
  <si>
    <t xml:space="preserve">CAP · Fractionné — 3 × 10'</t>
  </si>
  <si>
    <t xml:space="preserve">20' échauffement + 4 lignes droites · 3 × 10' à allure 10 km, récupération 3' · 15' retour au calme. 15 km. C'est la séance qui construit le 10 km : si le RPE dépasse 8, tu ralentis de 10 s/km la fois suivante.</t>
  </si>
  <si>
    <t xml:space="preserve">300 · 6 × 500 (r 40") · 400. ≈ 3 400 m. Récupérations courtes, allure constante.</t>
  </si>
  <si>
    <t xml:space="preserve">CAP · Fractionné — 12 × 400 m</t>
  </si>
  <si>
    <t xml:space="preserve">20' échauffement + 4 lignes droites · 12 × 400 m à allure 5 km, récupération 1' · 15' retour au calme. 13 km. C'est la séance qui construit le 10 km : si le RPE dépasse 8, tu ralentis de 10 s/km la fois suivante.</t>
  </si>
  <si>
    <t xml:space="preserve">CAP · Fractionné — 2 × 15'</t>
  </si>
  <si>
    <t xml:space="preserve">20' échauffement + 4 lignes droites · 2 × 15' au seuil, récupération 4' · 15' retour au calme. 14 km. C'est la séance qui construit le 10 km : si le RPE dépasse 8, tu ralentis de 10 s/km la fois suivante.</t>
  </si>
  <si>
    <t xml:space="preserve">10 km n°2</t>
  </si>
  <si>
    <t xml:space="preserve">Version allégée, semaine de course : squat 3 × 5 à 70 %, ski 3 × 250 m, farmers 3 × 40 m, gainage 10'. Rien qui laisse des courbatures.</t>
  </si>
  <si>
    <t xml:space="preserve">20' échauffement · 4 × 3' à allure 10 km, récupération 2' · 12' retour au calme. 11 km.</t>
  </si>
  <si>
    <t xml:space="preserve">Rien. Semaine de course.</t>
  </si>
  <si>
    <t xml:space="preserve">COURSE 10 KM n°2</t>
  </si>
  <si>
    <t xml:space="preserve">Dimanche 14/02 — le 16/02 de ton fichier est un mardi. Cible : &lt;b&gt;40 à 42 min&lt;/b&gt;. C'est cette course qui fixe l'objectif du 21 mars : sous 40 min, 36:30 reste crédible ; au-dessus, on rectifie la cible au lieu de la subir. Rappel : tu étais à 52 min fin août.</t>
  </si>
  <si>
    <t xml:space="preserve">Bloc final 10 km</t>
  </si>
  <si>
    <t xml:space="preserve">20' échauffement · 3 × 8' à allure 10 km, récupération 3' · 15' retour au calme. 14 km.</t>
  </si>
  <si>
    <t xml:space="preserve">102' en endurance, dont 2 × 8' à allure marathon. 18 km.</t>
  </si>
  <si>
    <t xml:space="preserve">20' échauffement · 8 × 1000 m à allure 10 km, récupération 2' · 15' retour au calme. 14 km.</t>
  </si>
  <si>
    <t xml:space="preserve">108' en endurance, dont 2 × 8' à allure marathon. 19 km.</t>
  </si>
  <si>
    <t xml:space="preserve">CAP · Fractionné — 4 × 6'</t>
  </si>
  <si>
    <t xml:space="preserve">20' échauffement · 4 × 6' à allure 10 km, récupération 2' · 15' retour au calme. 13 km.</t>
  </si>
  <si>
    <t xml:space="preserve">96' en endurance, dont 2 × 8' à allure marathon. 17 km.</t>
  </si>
  <si>
    <t xml:space="preserve">Affûtage</t>
  </si>
  <si>
    <t xml:space="preserve">CAP · Fractionné — 3 × 6'</t>
  </si>
  <si>
    <t xml:space="preserve">20' échauffement · 3 × 6' à allure 10 km, récupération 2' · 15' retour au calme. 12 km.</t>
  </si>
  <si>
    <t xml:space="preserve">79' en endurance, dont 2 × 8' à allure marathon. 14 km.</t>
  </si>
  <si>
    <t xml:space="preserve">10 km n°3 · objectif</t>
  </si>
  <si>
    <t xml:space="preserve">CAP · Activation</t>
  </si>
  <si>
    <t xml:space="preserve">20' échauffement · 5 × 2' à allure 10 km, récupération 2' · 12' retour au calme. 10 km.</t>
  </si>
  <si>
    <t xml:space="preserve">COURSE 10 KM n°3 — OBJECTIF</t>
  </si>
  <si>
    <t xml:space="preserve">Dimanche 21/03 — le 23/03 de ton fichier est un mardi. Cible : &lt;b&gt;36:00 à 36:30&lt;/b&gt;, soit 3:36 à 3:39/km — un retour à deux minutes de ton ancien record. Depuis 52 min fin août, c'est seize minutes gagnées en trente semaines. Plan : 3 km à allure cible + 2 s/km, 3 km à allure cible, puis tout ce qui reste. Ne pars jamais plus vite que la cible sur le premier kilomètre.</t>
  </si>
  <si>
    <t xml:space="preserve">Volume total (h)</t>
  </si>
  <si>
    <t xml:space="preserve">Course (h)</t>
  </si>
  <si>
    <t xml:space="preserve">Hyrox (h)</t>
  </si>
  <si>
    <t xml:space="preserve">Natation (h)</t>
  </si>
  <si>
    <t xml:space="preserve">Vélo (h)</t>
  </si>
  <si>
    <t xml:space="preserve">Écart charge</t>
  </si>
  <si>
    <t xml:space="preserve">Séances faites</t>
  </si>
  <si>
    <t xml:space="preserve">RPE moyen ressenti</t>
  </si>
  <si>
    <t xml:space="preserve">TOTAL</t>
  </si>
  <si>
    <t xml:space="preserve">Fond orange : les quatre semaines de course (S12 semi, S13 10 km n°1, S24 10 km n°2, S29 10 km n°3) — seules exceptions au plancher de 8h.</t>
  </si>
  <si>
    <t xml:space="preserve">Fond vert : semaines allégées (S4, S10, S18, S28).</t>
  </si>
  <si>
    <t xml:space="preserve">Le vélo est la variable d'ajustement : 45' minimum, davantage quand les autres disciplines ne remplissent pas les 8h.</t>
  </si>
  <si>
    <t xml:space="preserve">Le kilométrage des semaines 12, 13, 24 et 29 inclut la course.</t>
  </si>
  <si>
    <t xml:space="preserve">SUIVI HEBDOMADAIRE ET RÈGLES D'AJUSTEMENT</t>
  </si>
  <si>
    <t xml:space="preserve">Deux séances gouvernent tout le plan : la séance de qualité du mercredi et la sortie longue. Le reste s'adapte autour d'elles. Remplis le tableau chaque dimanche soir — c'est ce qui permet de corriger avant que ça casse.</t>
  </si>
  <si>
    <t xml:space="preserve">POINT DE DÉPART MESURÉ — sortie de référence transmise (Garmin)</t>
  </si>
  <si>
    <t xml:space="preserve">Mesure</t>
  </si>
  <si>
    <t xml:space="preserve">Valeur</t>
  </si>
  <si>
    <t xml:space="preserve">Lecture</t>
  </si>
  <si>
    <t xml:space="preserve">Allure moyenne</t>
  </si>
  <si>
    <t xml:space="preserve">5:12 /km</t>
  </si>
  <si>
    <t xml:space="preserve">Sur ~55 min, soit un 10 km en 52:00. C'est ta référence « allure 10 km actuelle » dans l'onglet Allures.</t>
  </si>
  <si>
    <t xml:space="preserve">FC moyenne</t>
  </si>
  <si>
    <t xml:space="preserve">147 bpm</t>
  </si>
  <si>
    <t xml:space="preserve">À 5:12/km. Ce n'est pas une allure d'endurance : c'est déjà proche de ton seuil actuel.</t>
  </si>
  <si>
    <t xml:space="preserve">FC au repos</t>
  </si>
  <si>
    <t xml:space="preserve">44 bpm (moy. 7 j : 45)</t>
  </si>
  <si>
    <t xml:space="preserve">Après douze mois d'arrêt. Ton moteur cardiaque a très peu perdu — c'est la bonne nouvelle, et le piège.</t>
  </si>
  <si>
    <t xml:space="preserve">Dérive cardiaque</t>
  </si>
  <si>
    <t xml:space="preserve">≈ 140 → 160 bpm à allure constante</t>
  </si>
  <si>
    <t xml:space="preserve">+14 % sur 55 minutes. Au-delà de 5 %, l'allure était trop rapide pour ton état d'endurance actuel.</t>
  </si>
  <si>
    <t xml:space="preserve">Condition physique Garmin</t>
  </si>
  <si>
    <t xml:space="preserve">positive au départ, négative après 27'</t>
  </si>
  <si>
    <t xml:space="preserve">La montre dit que l'effort dépassait la forme du jour à partir de la mi-parcours.</t>
  </si>
  <si>
    <t xml:space="preserve">Ce que ça change dans le plan</t>
  </si>
  <si>
    <t xml:space="preserve">Rien — ça le confirme</t>
  </si>
  <si>
    <t xml:space="preserve">Ton endurance fondamentale est à 6:27/km en bloc A, pas à 5:12. 5:12 est aujourd'hui ton allure de course, pas ton allure de footing.</t>
  </si>
  <si>
    <t xml:space="preserve">CE QUE TU M'ENVOIES CHAQUE DIMANCHE SOIR</t>
  </si>
  <si>
    <t xml:space="preserve">Quoi</t>
  </si>
  <si>
    <t xml:space="preserve">Détail</t>
  </si>
  <si>
    <t xml:space="preserve">Exemple</t>
  </si>
  <si>
    <t xml:space="preserve">1</t>
  </si>
  <si>
    <t xml:space="preserve">La séance de qualité du mercredi</t>
  </si>
  <si>
    <t xml:space="preserve">Temps réel de chaque bloc, FC moyenne, RPE ressenti, et une phrase de sensation.</t>
  </si>
  <si>
    <t xml:space="preserve">Ex : 5 × 3' seuil visés à 5:22 → réalisés 5:19 / 5:20 / 5:22 / 5:26 / 5:31, FC 158-168, RPE 8, les 2 derniers durs.</t>
  </si>
  <si>
    <t xml:space="preserve">2</t>
  </si>
  <si>
    <t xml:space="preserve">La sortie longue</t>
  </si>
  <si>
    <t xml:space="preserve">Distance, temps, allure moyenne, FC moyenne, dérive début/fin.</t>
  </si>
  <si>
    <t xml:space="preserve">Ex : 12 km en 1h18, 6:30/km, FC 138 → 149.</t>
  </si>
  <si>
    <t xml:space="preserve">3</t>
  </si>
  <si>
    <t xml:space="preserve">L'état général</t>
  </si>
  <si>
    <t xml:space="preserve">Sommeil, fatigue, douleurs éventuelles, FC au repos de la semaine.</t>
  </si>
  <si>
    <t xml:space="preserve">Ex : 3 nuits courtes, tendon d'Achille gauche sensible mercredi et jeudi, FC repos 47 (vs 44).</t>
  </si>
  <si>
    <t xml:space="preserve">4</t>
  </si>
  <si>
    <t xml:space="preserve">Ce qui a sauté</t>
  </si>
  <si>
    <t xml:space="preserve">Les séances non faites et pourquoi.</t>
  </si>
  <si>
    <t xml:space="preserve">Ex : vélo du mardi supprimé, réunion tardive.</t>
  </si>
  <si>
    <t xml:space="preserve">LES RÈGLES D'AJUSTEMENT — appliquées sans discussion</t>
  </si>
  <si>
    <t xml:space="preserve">Si…</t>
  </si>
  <si>
    <t xml:space="preserve">Alors</t>
  </si>
  <si>
    <t xml:space="preserve">Pourquoi</t>
  </si>
  <si>
    <t xml:space="preserve">RPE du mercredi &gt; 8</t>
  </si>
  <si>
    <t xml:space="preserve">Tu ralentis de 10 s/km la séance suivante.</t>
  </si>
  <si>
    <t xml:space="preserve">Le RPE cible du fractionné est 7-8. Au-dessus, tu cours l'allure de la semaine 20 en semaine 15.</t>
  </si>
  <si>
    <t xml:space="preserve">RPE du mercredi ≤ 6</t>
  </si>
  <si>
    <t xml:space="preserve">Tu peux accélérer de 5 s/km.</t>
  </si>
  <si>
    <t xml:space="preserve">Capacité disponible : c'est le seul cas où on avance le curseur plus vite que le plan.</t>
  </si>
  <si>
    <t xml:space="preserve">Dérive cardiaque &gt; 8 % sur la sortie longue</t>
  </si>
  <si>
    <t xml:space="preserve">Tu ralentis l'endurance de 15 s/km pendant deux semaines.</t>
  </si>
  <si>
    <t xml:space="preserve">Signe que la base aérobie ne suit pas encore le volume.</t>
  </si>
  <si>
    <t xml:space="preserve">FC au repos +5 bpm sur 3 jours</t>
  </si>
  <si>
    <t xml:space="preserve">Semaine allégée immédiate : on coupe le vélo et Hyrox n°2.</t>
  </si>
  <si>
    <t xml:space="preserve">Le meilleur indicateur de surcharge que tu aies, et tu l'as déjà au poignet.</t>
  </si>
  <si>
    <t xml:space="preserve">Sensation « dur » deux semaines de suite</t>
  </si>
  <si>
    <t xml:space="preserve">Décharge anticipée, on avance la semaine allégée suivante.</t>
  </si>
  <si>
    <t xml:space="preserve">Ce n'est pas de la faiblesse, c'est le mécanisme du plan.</t>
  </si>
  <si>
    <t xml:space="preserve">Douleur tendineuse 2 jours de suite</t>
  </si>
  <si>
    <t xml:space="preserve">STOP course 5 jours. Natation et Hyrox haut du corps seulement.</t>
  </si>
  <si>
    <t xml:space="preserve">Le volume perdu se rattrape. Une tendinopathie, non — et c'est ton risque n°1.</t>
  </si>
  <si>
    <t xml:space="preserve">Deux nuits courtes d'affilée</t>
  </si>
  <si>
    <t xml:space="preserve">La séance de qualité devient un footing.</t>
  </si>
  <si>
    <t xml:space="preserve">Sans discussion.</t>
  </si>
  <si>
    <t xml:space="preserve">Une séance saute</t>
  </si>
  <si>
    <t xml:space="preserve">Elle ne se rattrape jamais. On reprend où le plan en est.</t>
  </si>
  <si>
    <t xml:space="preserve">Ordre de sacrifice : vélo, puis Hyrox n°2, puis natation du vendredi. Jamais la longue, jamais la qualité.</t>
  </si>
  <si>
    <t xml:space="preserve">JOURNAL HEBDOMADAIRE — à remplir</t>
  </si>
  <si>
    <t xml:space="preserve">Date du dimanche</t>
  </si>
  <si>
    <t xml:space="preserve">Séance qualité : temps réels</t>
  </si>
  <si>
    <t xml:space="preserve">FC moy. qualité</t>
  </si>
  <si>
    <t xml:space="preserve">RPE qualité</t>
  </si>
  <si>
    <t xml:space="preserve">Sortie longue : allure moy.</t>
  </si>
  <si>
    <t xml:space="preserve">FC repos moyenne</t>
  </si>
  <si>
    <t xml:space="preserve">Sensation générale / douleurs / décision</t>
  </si>
  <si>
    <t xml:space="preserve">6/09/2026</t>
  </si>
  <si>
    <t xml:space="preserve">—</t>
  </si>
  <si>
    <t xml:space="preserve">Semaine 1 amputée : déplacement pro du 2 au 5/09, un seul footing.</t>
  </si>
  <si>
    <t xml:space="preserve">Garmin Connect ne peut pas être lu automatiquement depuis ici : le site bloque l'accès automatisé. Deux solutions — des captures d'écran (elles fonctionnent parfaitement, celles que tu m'as envoyées suffisaient) ou le connecteur Strava, qui se branche sur claude.ai et se synchronise depuis Garmin.</t>
  </si>
  <si>
    <t xml:space="preserve">Avec Strava connecté, je peux lire tes activités, tes courbes de FC et d'allure directement, sans capture ni copier-coller.</t>
  </si>
  <si>
    <t xml:space="preserve">Ce journal est un doublon volontaire des colonnes « RPE ressenti » et « Notes » du Plan détaillé : celles-là servent séance par séance, celui-ci sert à la décision hebdomadaire.</t>
  </si>
  <si>
    <t xml:space="preserve">CALIBRAGE DES ALLURES — DEUX RÉFÉRENCES, PAS UNE</t>
  </si>
  <si>
    <t xml:space="preserve">Tu pars de 52 min au 10 km et tu vises 36 min. Les allures d'entraînement ne peuvent donc pas être fixes : elles glissent bloc par bloc. Renseigne les deux cellules jaunes — allure actuelle et allure cible — et tout le plan se recalcule.</t>
  </si>
  <si>
    <t xml:space="preserve">Allure 10 km ACTUELLE — min</t>
  </si>
  <si>
    <t xml:space="preserve">Allure 10 km ACTUELLE — sec</t>
  </si>
  <si>
    <t xml:space="preserve">Allure 10 km CIBLE — min</t>
  </si>
  <si>
    <t xml:space="preserve">Allure 10 km CIBLE — sec</t>
  </si>
  <si>
    <t xml:space="preserve">Allure actuelle (sec/km)</t>
  </si>
  <si>
    <t xml:space="preserve">Allure cible (sec/km)</t>
  </si>
  <si>
    <t xml:space="preserve">10 km actuel / cible</t>
  </si>
  <si>
    <t xml:space="preserve">Bloc</t>
  </si>
  <si>
    <t xml:space="preserve">Semaines</t>
  </si>
  <si>
    <t xml:space="preserve">Allure 10 km de référence</t>
  </si>
  <si>
    <t xml:space="preserve">10 km équivalent</t>
  </si>
  <si>
    <t xml:space="preserve">Ce que ça veut dire</t>
  </si>
  <si>
    <t xml:space="preserve">A — Réamorçage</t>
  </si>
  <si>
    <t xml:space="preserve">S1 → S6</t>
  </si>
  <si>
    <t xml:space="preserve">Ton niveau actuel. Aucune allure imposée avant le test de la semaine 5.</t>
  </si>
  <si>
    <t xml:space="preserve">B — Construction semi</t>
  </si>
  <si>
    <t xml:space="preserve">S7 → S13</t>
  </si>
  <si>
    <t xml:space="preserve">Le semi du 22/11 et le 10 km du 29/11 se courent à cette référence.</t>
  </si>
  <si>
    <t xml:space="preserve">C — Bloc vitesse</t>
  </si>
  <si>
    <t xml:space="preserve">S14 → S23</t>
  </si>
  <si>
    <t xml:space="preserve">Le fractionné du mercredi vise cette allure, pas 3:36.</t>
  </si>
  <si>
    <t xml:space="preserve">D — Bloc final</t>
  </si>
  <si>
    <t xml:space="preserve">S24 → S29</t>
  </si>
  <si>
    <t xml:space="preserve">La cible. C'est seulement ici que 3:36/km devient l'allure de travail.</t>
  </si>
  <si>
    <t xml:space="preserve">Zone</t>
  </si>
  <si>
    <t xml:space="preserve">Code dans le plan</t>
  </si>
  <si>
    <t xml:space="preserve">Écart vs allure 10 km (sec/km)</t>
  </si>
  <si>
    <t xml:space="preserve">Bloc A</t>
  </si>
  <si>
    <t xml:space="preserve">Bloc B</t>
  </si>
  <si>
    <t xml:space="preserve">Bloc C</t>
  </si>
  <si>
    <t xml:space="preserve">Bloc D</t>
  </si>
  <si>
    <t xml:space="preserve">Où elle sert</t>
  </si>
  <si>
    <t xml:space="preserve">Récupération</t>
  </si>
  <si>
    <t xml:space="preserve">Footings de récupération du vendredi, retours au calme</t>
  </si>
  <si>
    <t xml:space="preserve">Endurance fondamentale</t>
  </si>
  <si>
    <t xml:space="preserve">Sorties longues, footings, base du volume</t>
  </si>
  <si>
    <t xml:space="preserve">Endurance active</t>
  </si>
  <si>
    <t xml:space="preserve">End. active</t>
  </si>
  <si>
    <t xml:space="preserve">Blocs en fin de sortie longue, phase de réamorçage</t>
  </si>
  <si>
    <t xml:space="preserve">Allure marathon</t>
  </si>
  <si>
    <t xml:space="preserve">All. marathon</t>
  </si>
  <si>
    <t xml:space="preserve">Blocs sur les sorties longues du bloc vitesse</t>
  </si>
  <si>
    <t xml:space="preserve">Allure semi</t>
  </si>
  <si>
    <t xml:space="preserve">Blocs spécifiques S9 à S12, semi du 22/11</t>
  </si>
  <si>
    <t xml:space="preserve">Seuil</t>
  </si>
  <si>
    <t xml:space="preserve">Séances de seuil : 3', 8', 10', 15'</t>
  </si>
  <si>
    <t xml:space="preserve">Allure 10 km — RÉFÉRENCE</t>
  </si>
  <si>
    <t xml:space="preserve">Fractionné du mercredi, et les quatre courses</t>
  </si>
  <si>
    <t xml:space="preserve">Allure 5 km / VMA</t>
  </si>
  <si>
    <t xml:space="preserve">All. 5 km / VMA</t>
  </si>
  <si>
    <t xml:space="preserve">5 × 1000 m, 10 × 800 m, 12 × 400 m</t>
  </si>
  <si>
    <t xml:space="preserve">La colonne « Allures cibles » de l'onglet Plan détaillé utilise automatiquement le bloc correspondant à la semaine de la séance.</t>
  </si>
  <si>
    <t xml:space="preserve">Le contre-la-montre de 30' en semaine 5 remplace l'estimation : reporte le résultat dans la cellule « allure actuelle » et tout se recale.</t>
  </si>
  <si>
    <t xml:space="preserve">Correction : les allures d'endurance de ton fichier d'origine (6:30-7:00/km) étaient cohérentes avec ton niveau actuel — c'est moi qui les avais jugées fausses en les comparant à la cible de mars. Elles décrivaient le début du plan, pas la fin.</t>
  </si>
  <si>
    <t xml:space="preserve">Cellules jaunes = à remplir. Tout le reste se recalcule.</t>
  </si>
  <si>
    <t xml:space="preserve">LA SÉRIE MONTAGNE — UNE SORTIE TOUTES LES 3 SEMAINES</t>
  </si>
  <si>
    <t xml:space="preserve">Cinq sorties, +2 à +5 km à chaque fois, de 16 km le 29 août à 41 km le 12 décembre. L'occurrence du 21/11 a été supprimée : elle tombait la veille du semi. Et la première passe de 25 à 16 km : après douze mois d'arrêt, le 25 km coûterait trois semaines de reprise. Courses recherchées dans un rayon de deux heures de route autour de Wrocław, sur le calendrier biegigorskie.pl et les calendriers dolnośląskie.</t>
  </si>
  <si>
    <t xml:space="preserve">Sortie</t>
  </si>
  <si>
    <t xml:space="preserve">Distance cible</t>
  </si>
  <si>
    <t xml:space="preserve">Course identifiée</t>
  </si>
  <si>
    <t xml:space="preserve">Lieu</t>
  </si>
  <si>
    <t xml:space="preserve">Trajet depuis Wrocław</t>
  </si>
  <si>
    <t xml:space="preserve">Remarque</t>
  </si>
  <si>
    <t xml:space="preserve">Samedi 29/08/2026</t>
  </si>
  <si>
    <t xml:space="preserve">16 km (au lieu de 25)</t>
  </si>
  <si>
    <t xml:space="preserve">Bieg Jaskiniowego Niedźwiedzia</t>
  </si>
  <si>
    <t xml:space="preserve">Kletno, Masyw Śnieżnika</t>
  </si>
  <si>
    <t xml:space="preserve">≈ 130 km de Wrocław, 2h de route</t>
  </si>
  <si>
    <t xml:space="preserve">Le 25 km existe, mais après douze mois d'arrêt c'est le 16 km qu'il faut prendre — même course, même jour, même lieu. Le 25 km te coûterait trois semaines de reprise pour rien. Formats disponibles : 10, 16, 25 et 51 km.</t>
  </si>
  <si>
    <t xml:space="preserve">https://bjn.com.pl/25km/</t>
  </si>
  <si>
    <t xml:space="preserve">Samedi 19/09/2026</t>
  </si>
  <si>
    <t xml:space="preserve">30 km</t>
  </si>
  <si>
    <t xml:space="preserve">Przejście Nocna 30 — 30 km</t>
  </si>
  <si>
    <t xml:space="preserve">Départ Piechowice, arrivée Szklarska Poręba</t>
  </si>
  <si>
    <t xml:space="preserve">≈ 130 km de Wrocław</t>
  </si>
  <si>
    <t xml:space="preserve">30 km en montagne à la troisième semaine de reprise après douze mois d'arrêt. C'est trois fois ta plus longue sortie de la semaine précédente. Si tu maintiens, marche dès 8 % de pente et vise la barrière, pas le chrono.</t>
  </si>
  <si>
    <t xml:space="preserve">https://przejsciekotliny.org/</t>
  </si>
  <si>
    <t xml:space="preserve">Dimanche 11/10/2026</t>
  </si>
  <si>
    <t xml:space="preserve">35 km</t>
  </si>
  <si>
    <t xml:space="preserve">UltraKotlina UK30 — 35 km</t>
  </si>
  <si>
    <t xml:space="preserve">Départ Piechowice, Karkonosze et Góry Izerskie</t>
  </si>
  <si>
    <t xml:space="preserve">Départ le dimanche : la sortie se décale d'un jour, le samedi devient repos et route. Barrière 6h.</t>
  </si>
  <si>
    <t xml:space="preserve">https://ultrakotlina.pl/</t>
  </si>
  <si>
    <t xml:space="preserve">Samedi 31/10/2026</t>
  </si>
  <si>
    <t xml:space="preserve">37 km</t>
  </si>
  <si>
    <t xml:space="preserve">Sowiogórski Festiwal Biegowy — 30 km</t>
  </si>
  <si>
    <t xml:space="preserve">Pieszyce, Góry Sowie</t>
  </si>
  <si>
    <t xml:space="preserve">≈ 70 km de Wrocław, 1h10 — la plus proche de la série</t>
  </si>
  <si>
    <t xml:space="preserve">Rien le 31/10 à moins de deux heures. Celle-ci est une semaine plus tôt et fait 30 km au lieu de 37. Le festival propose aussi 55 et 84 km. À ce stade du plan, prendre le 30 km une semaine avant est le meilleur des compromis : tu gardes une vraie course, tu perds seulement la progression en distance.</t>
  </si>
  <si>
    <t xml:space="preserve">https://b4sportonline.pl/sfb2026/</t>
  </si>
  <si>
    <t xml:space="preserve">5</t>
  </si>
  <si>
    <t xml:space="preserve">Samedi 12/12/2026</t>
  </si>
  <si>
    <t xml:space="preserve">41 km</t>
  </si>
  <si>
    <t xml:space="preserve">Winter Trail Małopolska — 45 km</t>
  </si>
  <si>
    <t xml:space="preserve">Mszana Dolna, Beskid Wyspowy</t>
  </si>
  <si>
    <t xml:space="preserve">≈ 370 km de Wrocław, 4h30 de route</t>
  </si>
  <si>
    <t xml:space="preserve">Seule course qui tombe à ta date et à ta distance, mais à 4h30 de route. Et surtout : le 12/12 tombe désormais en pleine préparation du 10 km. Une sortie de 41 km en montagne au milieu d'un bloc de vitesse, c'est deux entraînements qui s'annulent. Mon avis : tu supprimes cette cinquième sortie, ou tu acceptes que le 10 km de février soit décalé.</t>
  </si>
  <si>
    <t xml:space="preserve">https://motivato.pl/kalendarz-biegowy/biegi-gorskie/</t>
  </si>
  <si>
    <t xml:space="preserve">Les deux dernières sorties (31/10 et 12/12) n'ont aucune course correspondante à moins de deux heures de Wrocław : elles se font en solo.</t>
  </si>
  <si>
    <t xml:space="preserve">Sur la sortie du 11/10, le départ est un dimanche : la sortie se décale d'un jour et le samedi 10 devient repos et route.</t>
  </si>
  <si>
    <t xml:space="preserve">Vérifie les dates et les ouvertures d'inscription sur les sites officiels : les calendriers agrégés se trompent régulièrement d'un jour.</t>
  </si>
  <si>
    <t xml:space="preserve">Sources : biegigorskie.pl, przejsciekotliny.org, ultrakotlina.pl, bjn.com.pl, ultrarace.pl, finishers.com, running.life.</t>
  </si>
  <si>
    <t xml:space="preserve">LES EXERCICES HYROX, UN PAR UN</t>
  </si>
  <si>
    <t xml:space="preserve">Format officiel : 8 × 1 km de course, entrecoupés des 8 stations ci-dessous, dans cet ordre. Environ 16 km au total. Poids indiqués pour la division Open hommes, saison 2026 — vérifie ceux de ta division sur hyrox.com.</t>
  </si>
  <si>
    <t xml:space="preserve">LES 8 STATIONS, DANS L'ORDRE DE LA COURSE</t>
  </si>
  <si>
    <t xml:space="preserve">#</t>
  </si>
  <si>
    <t xml:space="preserve">Station</t>
  </si>
  <si>
    <t xml:space="preserve">Standard (Open H)</t>
  </si>
  <si>
    <t xml:space="preserve">Autres divisions</t>
  </si>
  <si>
    <t xml:space="preserve">Ce que c'est</t>
  </si>
  <si>
    <t xml:space="preserve">Les 3 points de technique qui comptent</t>
  </si>
  <si>
    <t xml:space="preserve">L'erreur classique</t>
  </si>
  <si>
    <t xml:space="preserve">Repère de temps</t>
  </si>
  <si>
    <t xml:space="preserve">Où elle apparaît dans le plan</t>
  </si>
  <si>
    <t xml:space="preserve">SkiErg — 1 000 m</t>
  </si>
  <si>
    <t xml:space="preserve">1 000 m, sans charge</t>
  </si>
  <si>
    <t xml:space="preserve">Identique en Pro et en Open, hommes et femmes</t>
  </si>
  <si>
    <t xml:space="preserve">Machine de ski de fond : tirage vertical debout, à la corde. Premier effort de la course, juste après le premier kilomètre.</t>
  </si>
  <si>
    <t xml:space="preserve">1) L'impulsion vient des hanches et du gainage, pas des bras — tu t'assieds sur la poignée.  2) Mains qui descendent le long du corps, coudes près du buste.  3) Coups longs plutôt que fréquence haute : 24 à 28 coups/min.</t>
  </si>
  <si>
    <t xml:space="preserve">Tirer à la force des bras. Tu explores tes avant-bras dès la station 1, et tu paies l'addition sur le sled pull et le farmers 40 minutes plus tard.</t>
  </si>
  <si>
    <t xml:space="preserve">4'00 à 4'45 (Open)</t>
  </si>
  <si>
    <t xml:space="preserve">Séries de 250 à 500 m dans chaque Hyrox n°1 du lundi, et en station dans les circuits du jeudi.</t>
  </si>
  <si>
    <t xml:space="preserve">Sled Push — 50 m</t>
  </si>
  <si>
    <t xml:space="preserve">152 kg, traîneau compris (Open H)</t>
  </si>
  <si>
    <t xml:space="preserve">Pro H 202 kg · Open F 102 kg</t>
  </si>
  <si>
    <t xml:space="preserve">Pousser un traîneau lesté sur 50 m, en 4 allers de 12,5 m. La station qui fait exploser le plus de courses.</t>
  </si>
  <si>
    <t xml:space="preserve">1) Bras tendus et verrouillés, corps en ligne à environ 45°.  2) Pas courts et fréquents — on ne cherche jamais la longueur de pas.  3) Hanches basses, regard au sol quelques mètres devant.</t>
  </si>
  <si>
    <t xml:space="preserve">Bras fléchis : tu portes le traîneau au lieu de le pousser. Et des pauses de 20 secondes à chaque demi-tour, qui coûtent plus que la poussée elle-même.</t>
  </si>
  <si>
    <t xml:space="preserve">2'30 à 4'00 (Open)</t>
  </si>
  <si>
    <t xml:space="preserve">Introduit à vide en semaine 3 (technique seulement), chargé à partir de la semaine 4 : 4 à 6 × 15 m le lundi.</t>
  </si>
  <si>
    <t xml:space="preserve">Sled Pull — 50 m</t>
  </si>
  <si>
    <t xml:space="preserve">103 kg, traîneau compris (Open H)</t>
  </si>
  <si>
    <t xml:space="preserve">Pro H 153 kg · Open F 78 kg</t>
  </si>
  <si>
    <t xml:space="preserve">Tirer le traîneau à la corde jusqu'à soi, depuis une zone délimitée dont tu ne dois pas sortir.</t>
  </si>
  <si>
    <t xml:space="preserve">1) Hanches basses, dos plat : tu tires avec les jambes en reculant, pas avec les bras.  2) Mains alternées, main sur main, sans jamais lâcher la corde.  3) Range la corde proprement à chaque aller — un nœud coûte 30 secondes.</t>
  </si>
  <si>
    <t xml:space="preserve">Tirer debout, bras tendus, dos rond. Lombaires cuites pour le reste de la course, et c'est encore la station 3 sur 8.</t>
  </si>
  <si>
    <t xml:space="preserve">3'30 à 5'00 (Open)</t>
  </si>
  <si>
    <t xml:space="preserve">À partir de la semaine 4 : 4 à 6 × 15 m le lundi, en alternance avec le sled push.</t>
  </si>
  <si>
    <t xml:space="preserve">Burpee Broad Jumps — 80 m</t>
  </si>
  <si>
    <t xml:space="preserve">80 m, poids du corps</t>
  </si>
  <si>
    <t xml:space="preserve">Identique dans toutes les divisions</t>
  </si>
  <si>
    <t xml:space="preserve">Enchaînement burpee + saut à pieds joints vers l'avant, sur 80 m. La station la plus coûteuse cardiaquement.</t>
  </si>
  <si>
    <t xml:space="preserve">1) Poitrine au sol, puis saut vers l'avant à deux pieds (les deux sont des standards de validation).  2) Économise : burpee bas, saut court et régulier plutôt que long et explosif.  3) Respire au moment du saut, jamais au sol.</t>
  </si>
  <si>
    <t xml:space="preserve">Partir sur des sauts maximaux. Ta fréquence cardiaque plafonne au bout de 20 m et les 60 m restants deviennent un calvaire.</t>
  </si>
  <si>
    <t xml:space="preserve">3'30 à 5'30 (Open)</t>
  </si>
  <si>
    <t xml:space="preserve">10 à 15 répétitions par tour dans les circuits du jeudi, surtout en semaines 1 à 3.</t>
  </si>
  <si>
    <t xml:space="preserve">RowErg — 1 000 m</t>
  </si>
  <si>
    <t xml:space="preserve">Identique en Pro et en Open</t>
  </si>
  <si>
    <t xml:space="preserve">Rameur Concept2, 1 000 m. Station 5, à peu près à la moitié de la course.</t>
  </si>
  <si>
    <t xml:space="preserve">1) Séquence stricte : jambes → tronc → bras à la traction, bras → tronc → jambes au retour.  2) Cadence 24 à 28, ratio traction/retour d'environ 1:2.  3) Amortisseur réglé entre 4 et 6, jamais 10.</t>
  </si>
  <si>
    <t xml:space="preserve">Partir à 1'45/500 m parce que la machine le permet, puis s'effondrer. Et se relever d'un coup à la fin : vertige garanti avant le kilomètre suivant.</t>
  </si>
  <si>
    <t xml:space="preserve">3'45 à 4'30 (Open)</t>
  </si>
  <si>
    <t xml:space="preserve">Séries de 250 à 500 m le lundi, et en station dans les circuits du jeudi.</t>
  </si>
  <si>
    <t xml:space="preserve">6</t>
  </si>
  <si>
    <t xml:space="preserve">Farmers Carry — 200 m</t>
  </si>
  <si>
    <t xml:space="preserve">2 × 24 kg (Open H)</t>
  </si>
  <si>
    <t xml:space="preserve">Pro H 2 × 32 kg · Open F 2 × 16 kg</t>
  </si>
  <si>
    <t xml:space="preserve">Porter deux kettlebells sur 200 m. Station la plus rapide, mais celle qui décide de ce qu'il te reste dans les mains.</t>
  </si>
  <si>
    <t xml:space="preserve">1) Épaules basses et en arrière, gainage serré, buste droit.  2) Petits pas rapides — on trottine, on ne marche pas.  3) Si tu dois lâcher, pose les poids à plat et repars immédiatement.</t>
  </si>
  <si>
    <t xml:space="preserve">Ne jamais avoir travaillé la prise de main. Les jambes suivent parfaitement, mais les doigts lâchent à 120 m.</t>
  </si>
  <si>
    <t xml:space="preserve">1'45 à 2'30 (Open), idéalement en une ou deux prises</t>
  </si>
  <si>
    <t xml:space="preserve">3 à 5 × 30 à 50 m à chaque Hyrox n°1, charge progressive de la semaine 1 à la semaine 10.</t>
  </si>
  <si>
    <t xml:space="preserve">Sandbag Lunges — 100 m</t>
  </si>
  <si>
    <t xml:space="preserve">20 kg (Open H)</t>
  </si>
  <si>
    <t xml:space="preserve">Pro H 30 kg · Open F 10 kg</t>
  </si>
  <si>
    <t xml:space="preserve">Fentes marchées avec un sac de sable sur les épaules, sur 100 m. La station où arrivent les crampes.</t>
  </si>
  <si>
    <t xml:space="preserve">1) Sac haut sur les trapèzes, jamais sur la nuque.  2) Genou arrière qui touche le sol à chaque fente — c'est le standard de validation.  3) Pas courts, buste droit : on ne tombe pas vers l'avant.</t>
  </si>
  <si>
    <t xml:space="preserve">Des fentes trop longues. Les quadriceps crampent vers 60 m, et un genou qui ne touche pas, c'est un no-rep.</t>
  </si>
  <si>
    <t xml:space="preserve">4'00 à 6'00 (Open)</t>
  </si>
  <si>
    <t xml:space="preserve">20 m de fentes lestées dans les circuits du jeudi ; les fentes bulgares du lundi construisent la force unilatérale correspondante.</t>
  </si>
  <si>
    <t xml:space="preserve">Wall Balls — 100 répétitions</t>
  </si>
  <si>
    <t xml:space="preserve">6 kg, cible à 3,00 m (Open H)</t>
  </si>
  <si>
    <t xml:space="preserve">Pro H 9 kg · Open F 4 kg à 2,70 m</t>
  </si>
  <si>
    <t xml:space="preserve">Squat complet puis lancer de la balle lestée sur une cible en hauteur, 100 fois. Dernière station de la course.</t>
  </si>
  <si>
    <t xml:space="preserve">1) Squat complet, hanches sous le parallèle : la balle part des jambes, pas des épaules.  2) Réception bras déjà en position, on enchaîne sans temps mort.  3) Fractionne dès le début — 10 × 10 ou 5-4-3 — plutôt que d'aller à l'échec.</t>
  </si>
  <si>
    <t xml:space="preserve">Enchaîner 30 répétitions d'entrée. Tu finis par séries de 3, avec des no-reps parce que la hanche ne descend plus.</t>
  </si>
  <si>
    <t xml:space="preserve">5'00 à 8'00 (Open)</t>
  </si>
  <si>
    <t xml:space="preserve">15 à 25 répétitions par tour dans les circuits, jusqu'à 5 × 25 en semaine 10.</t>
  </si>
  <si>
    <t xml:space="preserve">LES DEUX FACTEURS QU'ON OUBLIE</t>
  </si>
  <si>
    <t xml:space="preserve">La course entre les stations</t>
  </si>
  <si>
    <t xml:space="preserve">8 × 1 km, soit 8 km au total</t>
  </si>
  <si>
    <t xml:space="preserve">Le vrai facteur limitant d'un Hyrox. Ce n'est pas la force qui décide du chrono, c'est la capacité à courir correctement avec des jambes déjà chargées.</t>
  </si>
  <si>
    <t xml:space="preserve">1) Ne cherche jamais à gagner du temps sur les deux premiers kilomètres.  2) Allure cible : ton allure semi + 20 à 30 s/km.  3) Reprends la course immédiatement en sortant de la station, même lentement.</t>
  </si>
  <si>
    <t xml:space="preserve">Courir les premiers kilomètres à l'allure dont tu es capable frais. Tu la paies au double à partir de la station 5.</t>
  </si>
  <si>
    <t xml:space="preserve">C'est exactement l'objet de la séance Hyrox n°2 du jeudi : 400 m de course + 1 station, en boucle.</t>
  </si>
  <si>
    <t xml:space="preserve">La Roxzone</t>
  </si>
  <si>
    <t xml:space="preserve">Temps de transition entre la fin d'une station et le kilomètre suivant</t>
  </si>
  <si>
    <t xml:space="preserve">Les 8 transitions cumulées. Un temps qui n'apparaît nulle part à l'entraînement et qui pèse lourd sur le chrono final.</t>
  </si>
  <si>
    <t xml:space="preserve">1) Sache où est la sortie de station avant d'y entrer.  2) Bois et respire en marchant vite, pas à l'arrêt.  3) Fixe-toi une limite de 45 secondes par transition.</t>
  </si>
  <si>
    <t xml:space="preserve">Récupérer debout, mains sur les genoux. Un athlète moyen y perd 6 à 10 minutes sur la course entière.</t>
  </si>
  <si>
    <t xml:space="preserve">6 à 10 min cumulées</t>
  </si>
  <si>
    <t xml:space="preserve">Chronomètre tes transitions dans les circuits du jeudi à partir de la semaine 9.</t>
  </si>
  <si>
    <t xml:space="preserve">LA MUSCULATION DE SOUTIEN — dans le plan, pas dans la course</t>
  </si>
  <si>
    <t xml:space="preserve">Exercice</t>
  </si>
  <si>
    <t xml:space="preserve">Volume dans le plan</t>
  </si>
  <si>
    <t xml:space="preserve">À quoi ça sert exactement</t>
  </si>
  <si>
    <t xml:space="preserve">Quand</t>
  </si>
  <si>
    <t xml:space="preserve">Back squat / Goblet squat</t>
  </si>
  <si>
    <t xml:space="preserve">4 × 5 à 8</t>
  </si>
  <si>
    <t xml:space="preserve">Force maximale des jambes. C'est la base du sled push et ce qui te permet de faire 100 wall balls sans que la hanche remonte.</t>
  </si>
  <si>
    <t xml:space="preserve">Lundi, tout le plan</t>
  </si>
  <si>
    <t xml:space="preserve">Soulevé de terre roumain (RDL)</t>
  </si>
  <si>
    <t xml:space="preserve">3 à 4 × 8</t>
  </si>
  <si>
    <t xml:space="preserve">Chaîne postérieure : ischios et fessiers. Protège les ischios sur les sorties longues et alimente le sled pull.</t>
  </si>
  <si>
    <t xml:space="preserve">Fentes bulgares</t>
  </si>
  <si>
    <t xml:space="preserve">3 × 10 à 12 par jambe</t>
  </si>
  <si>
    <t xml:space="preserve">Force unilatérale. Transfert direct sur les sandbag lunges et sur la stabilité de la foulée en fin de semi.</t>
  </si>
  <si>
    <t xml:space="preserve">Lundi, S3 → S28</t>
  </si>
  <si>
    <t xml:space="preserve">Hip thrust</t>
  </si>
  <si>
    <t xml:space="preserve">3 × 12</t>
  </si>
  <si>
    <t xml:space="preserve">Extension de hanche pure. Renforce les fessiers sans charger la colonne — utile en phase de réamorçage.</t>
  </si>
  <si>
    <t xml:space="preserve">Lundi, S1 → S2</t>
  </si>
  <si>
    <t xml:space="preserve">Développé militaire</t>
  </si>
  <si>
    <t xml:space="preserve">3 à 4 × 8 à 10</t>
  </si>
  <si>
    <t xml:space="preserve">Épaules et verrouillage haut. Soutient le ski erg et la fin des wall balls.</t>
  </si>
  <si>
    <t xml:space="preserve">Lundi, S2 → S11</t>
  </si>
  <si>
    <t xml:space="preserve">Tractions / tirage vertical</t>
  </si>
  <si>
    <t xml:space="preserve">4 × 8</t>
  </si>
  <si>
    <t xml:space="preserve">Dos et grip. Indispensable au sled pull et au ski erg.</t>
  </si>
  <si>
    <t xml:space="preserve">Lundi, S1 → S11</t>
  </si>
  <si>
    <t xml:space="preserve">Farmer's carry (en musculation)</t>
  </si>
  <si>
    <t xml:space="preserve">3 à 5 × 30 à 50 m</t>
  </si>
  <si>
    <t xml:space="preserve">Prise de main et gainage. Transfert 1 pour 1 avec la station de course.</t>
  </si>
  <si>
    <t xml:space="preserve">Lundi, toutes les semaines</t>
  </si>
  <si>
    <t xml:space="preserve">Gainage</t>
  </si>
  <si>
    <t xml:space="preserve">10 à 12' par séance</t>
  </si>
  <si>
    <t xml:space="preserve">Le tronc est ce qui transmet la force au traîneau et ce qui tient la foulée quand tu fatigues.</t>
  </si>
  <si>
    <t xml:space="preserve">Lundi et mardi, toutes les semaines</t>
  </si>
  <si>
    <t xml:space="preserve">Source des standards : hyrox.com et récapitulatifs de division 2026. Les poids Open peuvent évoluer d'une saison à l'autre — vérifie avant de caler tes charges de sled.</t>
  </si>
</sst>
</file>

<file path=xl/styles.xml><?xml version="1.0" encoding="utf-8"?>
<styleSheet xmlns="http://schemas.openxmlformats.org/spreadsheetml/2006/main">
  <numFmts count="9">
    <numFmt numFmtId="164" formatCode="General"/>
    <numFmt numFmtId="165" formatCode="ddd\ dd/mm/yyyy"/>
    <numFmt numFmtId="166" formatCode="0.0"/>
    <numFmt numFmtId="167" formatCode="#,##0"/>
    <numFmt numFmtId="168" formatCode="0"/>
    <numFmt numFmtId="169" formatCode="0.00"/>
    <numFmt numFmtId="170" formatCode="0.0%"/>
    <numFmt numFmtId="171" formatCode="General"/>
    <numFmt numFmtId="172" formatCode="0&quot; sec/km&quot;"/>
  </numFmts>
  <fonts count="16">
    <font>
      <sz val="11"/>
      <color theme="1"/>
      <name val="Calibri"/>
      <family val="2"/>
      <charset val="1"/>
    </font>
    <font>
      <sz val="10"/>
      <name val="Arial"/>
      <family val="0"/>
    </font>
    <font>
      <sz val="10"/>
      <name val="Arial"/>
      <family val="0"/>
    </font>
    <font>
      <sz val="10"/>
      <name val="Arial"/>
      <family val="0"/>
    </font>
    <font>
      <b val="true"/>
      <sz val="15"/>
      <color rgb="FF12343A"/>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7A8A8C"/>
      <name val="Arial"/>
      <family val="0"/>
      <charset val="1"/>
    </font>
    <font>
      <i val="true"/>
      <sz val="9"/>
      <color rgb="FF5A6A6D"/>
      <name val="Arial"/>
      <family val="0"/>
      <charset val="1"/>
    </font>
    <font>
      <i val="true"/>
      <sz val="10"/>
      <color rgb="FF5A6A6D"/>
      <name val="Arial"/>
      <family val="0"/>
      <charset val="1"/>
    </font>
    <font>
      <b val="true"/>
      <sz val="11"/>
      <color rgb="FFFFFFFF"/>
      <name val="Arial"/>
      <family val="0"/>
      <charset val="1"/>
    </font>
    <font>
      <b val="true"/>
      <sz val="14"/>
      <color rgb="FF12343A"/>
      <name val="Arial"/>
      <family val="0"/>
      <charset val="1"/>
    </font>
    <font>
      <b val="true"/>
      <sz val="11"/>
      <color rgb="FF0000FF"/>
      <name val="Arial"/>
      <family val="0"/>
      <charset val="1"/>
    </font>
    <font>
      <b val="true"/>
      <sz val="11"/>
      <name val="Arial"/>
      <family val="0"/>
      <charset val="1"/>
    </font>
    <font>
      <u val="single"/>
      <sz val="9"/>
      <color rgb="FF0563C1"/>
      <name val="Arial"/>
      <family val="0"/>
      <charset val="1"/>
    </font>
  </fonts>
  <fills count="11">
    <fill>
      <patternFill patternType="none"/>
    </fill>
    <fill>
      <patternFill patternType="gray125"/>
    </fill>
    <fill>
      <patternFill patternType="solid">
        <fgColor rgb="FF12343A"/>
        <bgColor rgb="FF333333"/>
      </patternFill>
    </fill>
    <fill>
      <patternFill patternType="solid">
        <fgColor rgb="FFFBE7DC"/>
        <bgColor rgb="FFEDEFEF"/>
      </patternFill>
    </fill>
    <fill>
      <patternFill patternType="solid">
        <fgColor rgb="FFFFF3C4"/>
        <bgColor rgb="FFFBE7DC"/>
      </patternFill>
    </fill>
    <fill>
      <patternFill patternType="solid">
        <fgColor rgb="FFEDEFEF"/>
        <bgColor rgb="FFEAF3EE"/>
      </patternFill>
    </fill>
    <fill>
      <patternFill patternType="solid">
        <fgColor rgb="FFE2E6F4"/>
        <bgColor rgb="FFDDEDF1"/>
      </patternFill>
    </fill>
    <fill>
      <patternFill patternType="solid">
        <fgColor rgb="FFDDEDF1"/>
        <bgColor rgb="FFE2E6F4"/>
      </patternFill>
    </fill>
    <fill>
      <patternFill patternType="solid">
        <fgColor rgb="FFE7EFDD"/>
        <bgColor rgb="FFEAF3EE"/>
      </patternFill>
    </fill>
    <fill>
      <patternFill patternType="solid">
        <fgColor rgb="FFEAF3EE"/>
        <bgColor rgb="FFEDEFEF"/>
      </patternFill>
    </fill>
    <fill>
      <patternFill patternType="solid">
        <fgColor rgb="FFF1F3F3"/>
        <bgColor rgb="FFEDEFEF"/>
      </patternFill>
    </fill>
  </fills>
  <borders count="2">
    <border diagonalUp="false" diagonalDown="false">
      <left/>
      <right/>
      <top/>
      <bottom/>
      <diagonal/>
    </border>
    <border diagonalUp="false" diagonalDown="false">
      <left style="thin">
        <color rgb="FFC9D2D2"/>
      </left>
      <right style="thin">
        <color rgb="FFC9D2D2"/>
      </right>
      <top style="thin">
        <color rgb="FFC9D2D2"/>
      </top>
      <bottom style="thin">
        <color rgb="FFC9D2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false" indent="0" shrinkToFit="false"/>
      <protection locked="true" hidden="false"/>
    </xf>
    <xf numFmtId="167" fontId="5" fillId="3" borderId="1" xfId="0" applyFont="true" applyBorder="true" applyAlignment="true" applyProtection="false">
      <alignment horizontal="general" vertical="top" textRotation="0" wrapText="false" indent="0" shrinkToFit="false"/>
      <protection locked="true" hidden="false"/>
    </xf>
    <xf numFmtId="168"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5" fontId="8" fillId="5"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general" vertical="top" textRotation="0" wrapText="false" indent="0" shrinkToFit="false"/>
      <protection locked="true" hidden="false"/>
    </xf>
    <xf numFmtId="167" fontId="8" fillId="5" borderId="1" xfId="0" applyFont="true" applyBorder="true" applyAlignment="true" applyProtection="false">
      <alignment horizontal="general" vertical="top" textRotation="0" wrapText="false" indent="0" shrinkToFit="false"/>
      <protection locked="true" hidden="false"/>
    </xf>
    <xf numFmtId="168" fontId="8" fillId="5"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5"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6" fontId="5" fillId="6" borderId="1" xfId="0" applyFont="true" applyBorder="true" applyAlignment="true" applyProtection="false">
      <alignment horizontal="general" vertical="top" textRotation="0" wrapText="false" indent="0" shrinkToFit="false"/>
      <protection locked="true" hidden="false"/>
    </xf>
    <xf numFmtId="167" fontId="5" fillId="6" borderId="1" xfId="0" applyFont="true" applyBorder="true" applyAlignment="true" applyProtection="false">
      <alignment horizontal="general" vertical="top" textRotation="0" wrapText="false" indent="0" shrinkToFit="false"/>
      <protection locked="true" hidden="false"/>
    </xf>
    <xf numFmtId="168"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5" fontId="5" fillId="7"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6" fontId="5" fillId="7" borderId="1" xfId="0" applyFont="true" applyBorder="true" applyAlignment="true" applyProtection="false">
      <alignment horizontal="general" vertical="top" textRotation="0" wrapText="false" indent="0" shrinkToFit="false"/>
      <protection locked="true" hidden="false"/>
    </xf>
    <xf numFmtId="167" fontId="5" fillId="7" borderId="1" xfId="0" applyFont="true" applyBorder="true" applyAlignment="true" applyProtection="false">
      <alignment horizontal="general" vertical="top" textRotation="0" wrapText="false" indent="0" shrinkToFit="false"/>
      <protection locked="true" hidden="false"/>
    </xf>
    <xf numFmtId="168" fontId="5" fillId="7" borderId="1" xfId="0" applyFont="true" applyBorder="true" applyAlignment="true" applyProtection="false">
      <alignment horizontal="general"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false" indent="0" shrinkToFit="false"/>
      <protection locked="true" hidden="false"/>
    </xf>
    <xf numFmtId="165" fontId="5" fillId="8" borderId="1" xfId="0" applyFont="true" applyBorder="true" applyAlignment="true" applyProtection="false">
      <alignment horizontal="general"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6" fontId="5" fillId="8" borderId="1" xfId="0" applyFont="true" applyBorder="true" applyAlignment="true" applyProtection="false">
      <alignment horizontal="general" vertical="top" textRotation="0" wrapText="false" indent="0" shrinkToFit="false"/>
      <protection locked="true" hidden="false"/>
    </xf>
    <xf numFmtId="167" fontId="5" fillId="8" borderId="1" xfId="0" applyFont="true" applyBorder="true" applyAlignment="true" applyProtection="false">
      <alignment horizontal="general" vertical="top" textRotation="0" wrapText="false" indent="0" shrinkToFit="false"/>
      <protection locked="true" hidden="false"/>
    </xf>
    <xf numFmtId="168" fontId="5" fillId="8"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70" fontId="5" fillId="0" borderId="1"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69" fontId="5" fillId="9" borderId="1" xfId="0" applyFont="true" applyBorder="true" applyAlignment="true" applyProtection="false">
      <alignment horizontal="general" vertical="bottom" textRotation="0" wrapText="false" indent="0" shrinkToFit="false"/>
      <protection locked="true" hidden="false"/>
    </xf>
    <xf numFmtId="166" fontId="5" fillId="9" borderId="1" xfId="0" applyFont="true" applyBorder="tru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general" vertical="bottom" textRotation="0" wrapText="false" indent="0" shrinkToFit="false"/>
      <protection locked="true" hidden="false"/>
    </xf>
    <xf numFmtId="168" fontId="5" fillId="9" borderId="1" xfId="0" applyFont="true" applyBorder="true" applyAlignment="true" applyProtection="false">
      <alignment horizontal="general" vertical="bottom" textRotation="0" wrapText="false" indent="0" shrinkToFit="false"/>
      <protection locked="true" hidden="false"/>
    </xf>
    <xf numFmtId="170" fontId="5" fillId="9"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9" fontId="5" fillId="3" borderId="1" xfId="0" applyFont="true" applyBorder="true" applyAlignment="true" applyProtection="false">
      <alignment horizontal="general" vertical="bottom" textRotation="0" wrapText="false" indent="0" shrinkToFit="false"/>
      <protection locked="true" hidden="false"/>
    </xf>
    <xf numFmtId="166" fontId="5" fillId="3" borderId="1" xfId="0" applyFont="true" applyBorder="true" applyAlignment="true" applyProtection="false">
      <alignment horizontal="general" vertical="bottom" textRotation="0" wrapText="false" indent="0" shrinkToFit="false"/>
      <protection locked="true" hidden="false"/>
    </xf>
    <xf numFmtId="167" fontId="5" fillId="3" borderId="1" xfId="0" applyFont="true" applyBorder="true" applyAlignment="tru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general" vertical="bottom" textRotation="0" wrapText="false" indent="0" shrinkToFit="false"/>
      <protection locked="true" hidden="false"/>
    </xf>
    <xf numFmtId="170" fontId="5" fillId="3" borderId="1" xfId="0" applyFont="tru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72"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72" fontId="6" fillId="0" borderId="1" xfId="0" applyFont="tru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15" fillId="1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2343A"/>
          <bgColor rgb="FF000000"/>
        </patternFill>
      </fill>
    </dxf>
    <dxf>
      <fill>
        <patternFill patternType="solid">
          <fgColor rgb="FFDDEDF1"/>
          <bgColor rgb="FF000000"/>
        </patternFill>
      </fill>
    </dxf>
    <dxf>
      <fill>
        <patternFill patternType="solid">
          <fgColor rgb="FFE2E6F4"/>
          <bgColor rgb="FF000000"/>
        </patternFill>
      </fill>
    </dxf>
    <dxf>
      <fill>
        <patternFill patternType="solid">
          <fgColor rgb="FFE7EFDD"/>
          <bgColor rgb="FF000000"/>
        </patternFill>
      </fill>
    </dxf>
    <dxf>
      <fill>
        <patternFill patternType="solid">
          <fgColor rgb="FFEDEFEF"/>
          <bgColor rgb="FF000000"/>
        </patternFill>
      </fill>
    </dxf>
    <dxf>
      <fill>
        <patternFill patternType="solid">
          <fgColor rgb="FFFBE7DC"/>
          <bgColor rgb="FF000000"/>
        </patternFill>
      </fill>
    </dxf>
    <dxf>
      <fill>
        <patternFill patternType="solid">
          <fgColor rgb="FF7A8A8C"/>
          <bgColor rgb="FF000000"/>
        </patternFill>
      </fill>
    </dxf>
    <dxf>
      <fill>
        <patternFill patternType="solid">
          <fgColor rgb="FFFFFFFF"/>
          <bgColor rgb="FF000000"/>
        </patternFill>
      </fill>
    </dxf>
    <dxf>
      <fill>
        <patternFill patternType="solid">
          <bgColor rgb="FF000000"/>
        </patternFill>
      </fill>
    </dxf>
    <dxf>
      <fill>
        <patternFill patternType="solid">
          <fgColor rgb="FFFFF3C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2E6F4"/>
      <rgbColor rgb="FF7A8A8C"/>
      <rgbColor rgb="FF9999FF"/>
      <rgbColor rgb="FF993366"/>
      <rgbColor rgb="FFFFF3C4"/>
      <rgbColor rgb="FFDDEDF1"/>
      <rgbColor rgb="FF660066"/>
      <rgbColor rgb="FFFF8080"/>
      <rgbColor rgb="FF0563C1"/>
      <rgbColor rgb="FFC9D2D2"/>
      <rgbColor rgb="FF000080"/>
      <rgbColor rgb="FFFF00FF"/>
      <rgbColor rgb="FFFFFF00"/>
      <rgbColor rgb="FF00FFFF"/>
      <rgbColor rgb="FF800080"/>
      <rgbColor rgb="FF800000"/>
      <rgbColor rgb="FF008080"/>
      <rgbColor rgb="FF0000FF"/>
      <rgbColor rgb="FF00CCFF"/>
      <rgbColor rgb="FFEAF3EE"/>
      <rgbColor rgb="FFE7EFDD"/>
      <rgbColor rgb="FFFBE7DC"/>
      <rgbColor rgb="FFF1F3F3"/>
      <rgbColor rgb="FFFF99CC"/>
      <rgbColor rgb="FFCC99FF"/>
      <rgbColor rgb="FFEDEFEF"/>
      <rgbColor rgb="FF3366FF"/>
      <rgbColor rgb="FF33CCCC"/>
      <rgbColor rgb="FF99CC00"/>
      <rgbColor rgb="FFFFCC00"/>
      <rgbColor rgb="FFFF9900"/>
      <rgbColor rgb="FFFF6600"/>
      <rgbColor rgb="FF5A6A6D"/>
      <rgbColor rgb="FF969696"/>
      <rgbColor rgb="FF12343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bjn.com.pl/25km/" TargetMode="External"/><Relationship Id="rId2" Type="http://schemas.openxmlformats.org/officeDocument/2006/relationships/hyperlink" Target="https://przejsciekotliny.org/" TargetMode="External"/><Relationship Id="rId3" Type="http://schemas.openxmlformats.org/officeDocument/2006/relationships/hyperlink" Target="https://ultrakotlina.pl/" TargetMode="External"/><Relationship Id="rId4" Type="http://schemas.openxmlformats.org/officeDocument/2006/relationships/hyperlink" Target="https://b4sportonline.pl/sfb2026/" TargetMode="External"/><Relationship Id="rId5" Type="http://schemas.openxmlformats.org/officeDocument/2006/relationships/hyperlink" Target="https://motivato.pl/kalendarz-biegowy/biegi-gorski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08"/>
  </cols>
  <sheetData>
    <row r="1" customFormat="false" ht="18" hidden="false" customHeight="true" outlineLevel="0" collapsed="false">
      <c r="A1" s="2"/>
      <c r="B1" s="3"/>
    </row>
    <row r="2" customFormat="false" ht="15" hidden="false" customHeight="true" outlineLevel="0" collapsed="false">
      <c r="A2" s="4"/>
      <c r="B2" s="3"/>
    </row>
    <row r="3" customFormat="false" ht="15" hidden="false" customHeight="true" outlineLevel="0" collapsed="false">
      <c r="A3" s="5" t="s">
        <v>0</v>
      </c>
      <c r="B3" s="3"/>
    </row>
    <row r="4" customFormat="false" ht="23.25" hidden="false" customHeight="true" outlineLevel="0" collapsed="false">
      <c r="A4" s="4" t="s">
        <v>1</v>
      </c>
      <c r="B4" s="3" t="s">
        <v>2</v>
      </c>
    </row>
    <row r="5" customFormat="false" ht="15" hidden="false" customHeight="true" outlineLevel="0" collapsed="false">
      <c r="A5" s="4" t="s">
        <v>3</v>
      </c>
      <c r="B5" s="3" t="s">
        <v>4</v>
      </c>
    </row>
    <row r="6" customFormat="false" ht="23.25" hidden="false" customHeight="true" outlineLevel="0" collapsed="false">
      <c r="A6" s="4" t="s">
        <v>5</v>
      </c>
      <c r="B6" s="3" t="s">
        <v>6</v>
      </c>
    </row>
    <row r="7" customFormat="false" ht="15" hidden="false" customHeight="true" outlineLevel="0" collapsed="false">
      <c r="A7" s="4"/>
      <c r="B7" s="3"/>
    </row>
    <row r="8" customFormat="false" ht="15" hidden="false" customHeight="true" outlineLevel="0" collapsed="false">
      <c r="A8" s="5" t="s">
        <v>7</v>
      </c>
      <c r="B8" s="3"/>
    </row>
    <row r="9" customFormat="false" ht="34.5" hidden="false" customHeight="true" outlineLevel="0" collapsed="false">
      <c r="A9" s="4" t="s">
        <v>8</v>
      </c>
      <c r="B9" s="3" t="s">
        <v>9</v>
      </c>
    </row>
    <row r="10" customFormat="false" ht="45.75" hidden="false" customHeight="true" outlineLevel="0" collapsed="false">
      <c r="A10" s="4" t="s">
        <v>10</v>
      </c>
      <c r="B10" s="3" t="s">
        <v>11</v>
      </c>
    </row>
    <row r="11" customFormat="false" ht="23.25" hidden="false" customHeight="true" outlineLevel="0" collapsed="false">
      <c r="A11" s="4" t="s">
        <v>12</v>
      </c>
      <c r="B11" s="3" t="s">
        <v>13</v>
      </c>
    </row>
    <row r="12" customFormat="false" ht="15" hidden="false" customHeight="true" outlineLevel="0" collapsed="false">
      <c r="A12" s="4" t="s">
        <v>14</v>
      </c>
      <c r="B12" s="3" t="s">
        <v>15</v>
      </c>
    </row>
    <row r="13" customFormat="false" ht="15" hidden="false" customHeight="true" outlineLevel="0" collapsed="false">
      <c r="A13" s="4" t="s">
        <v>16</v>
      </c>
      <c r="B13" s="3" t="s">
        <v>17</v>
      </c>
    </row>
    <row r="14" customFormat="false" ht="15" hidden="false" customHeight="true" outlineLevel="0" collapsed="false">
      <c r="A14" s="4"/>
      <c r="B14" s="3"/>
    </row>
    <row r="15" customFormat="false" ht="15" hidden="false" customHeight="true" outlineLevel="0" collapsed="false">
      <c r="A15" s="5" t="s">
        <v>18</v>
      </c>
      <c r="B15" s="3"/>
    </row>
    <row r="16" customFormat="false" ht="23.25" hidden="false" customHeight="true" outlineLevel="0" collapsed="false">
      <c r="A16" s="4" t="s">
        <v>19</v>
      </c>
      <c r="B16" s="3" t="s">
        <v>20</v>
      </c>
    </row>
    <row r="17" customFormat="false" ht="23.25" hidden="false" customHeight="true" outlineLevel="0" collapsed="false">
      <c r="A17" s="4" t="s">
        <v>21</v>
      </c>
      <c r="B17" s="3" t="s">
        <v>22</v>
      </c>
    </row>
    <row r="18" customFormat="false" ht="23.25" hidden="false" customHeight="true" outlineLevel="0" collapsed="false">
      <c r="A18" s="4" t="s">
        <v>23</v>
      </c>
      <c r="B18" s="3" t="s">
        <v>24</v>
      </c>
    </row>
    <row r="19" customFormat="false" ht="23.25" hidden="false" customHeight="true" outlineLevel="0" collapsed="false">
      <c r="A19" s="4" t="s">
        <v>25</v>
      </c>
      <c r="B19" s="3" t="s">
        <v>26</v>
      </c>
    </row>
    <row r="20" customFormat="false" ht="23.25" hidden="false" customHeight="true" outlineLevel="0" collapsed="false">
      <c r="A20" s="4" t="s">
        <v>27</v>
      </c>
      <c r="B20" s="3" t="s">
        <v>28</v>
      </c>
    </row>
    <row r="21" customFormat="false" ht="15" hidden="false" customHeight="true" outlineLevel="0" collapsed="false">
      <c r="A21" s="4" t="s">
        <v>29</v>
      </c>
      <c r="B21" s="3" t="s">
        <v>30</v>
      </c>
    </row>
    <row r="22" customFormat="false" ht="34.5" hidden="false" customHeight="true" outlineLevel="0" collapsed="false">
      <c r="A22" s="4" t="s">
        <v>31</v>
      </c>
      <c r="B22" s="3" t="s">
        <v>32</v>
      </c>
    </row>
    <row r="23" customFormat="false" ht="15" hidden="false" customHeight="true" outlineLevel="0" collapsed="false">
      <c r="A23" s="4"/>
      <c r="B23" s="3"/>
    </row>
    <row r="24" customFormat="false" ht="15" hidden="false" customHeight="true" outlineLevel="0" collapsed="false">
      <c r="A24" s="5" t="s">
        <v>33</v>
      </c>
      <c r="B24" s="3"/>
    </row>
    <row r="25" customFormat="false" ht="15" hidden="false" customHeight="true" outlineLevel="0" collapsed="false">
      <c r="A25" s="4" t="s">
        <v>34</v>
      </c>
      <c r="B25" s="3" t="s">
        <v>35</v>
      </c>
    </row>
    <row r="26" customFormat="false" ht="15" hidden="false" customHeight="true" outlineLevel="0" collapsed="false">
      <c r="A26" s="4" t="s">
        <v>36</v>
      </c>
      <c r="B26" s="3" t="s">
        <v>37</v>
      </c>
    </row>
    <row r="27" customFormat="false" ht="15" hidden="false" customHeight="true" outlineLevel="0" collapsed="false">
      <c r="A27" s="4" t="s">
        <v>38</v>
      </c>
      <c r="B27" s="3" t="s">
        <v>39</v>
      </c>
    </row>
    <row r="28" customFormat="false" ht="15" hidden="false" customHeight="true" outlineLevel="0" collapsed="false">
      <c r="A28" s="4" t="s">
        <v>40</v>
      </c>
      <c r="B28" s="3" t="s">
        <v>41</v>
      </c>
    </row>
    <row r="29" customFormat="false" ht="15" hidden="false" customHeight="true" outlineLevel="0" collapsed="false">
      <c r="A29" s="4"/>
      <c r="B29" s="3"/>
    </row>
    <row r="30" customFormat="false" ht="15" hidden="false" customHeight="true" outlineLevel="0" collapsed="false">
      <c r="A30" s="5" t="s">
        <v>42</v>
      </c>
      <c r="B30" s="3"/>
    </row>
    <row r="31" customFormat="false" ht="15" hidden="false" customHeight="true" outlineLevel="0" collapsed="false">
      <c r="A31" s="4" t="s">
        <v>43</v>
      </c>
      <c r="B31" s="3" t="s">
        <v>44</v>
      </c>
    </row>
    <row r="32" customFormat="false" ht="15" hidden="false" customHeight="true" outlineLevel="0" collapsed="false">
      <c r="A32" s="4" t="s">
        <v>45</v>
      </c>
      <c r="B32" s="3" t="s">
        <v>46</v>
      </c>
    </row>
    <row r="33" customFormat="false" ht="23.25" hidden="false" customHeight="true" outlineLevel="0" collapsed="false">
      <c r="A33" s="4" t="s">
        <v>47</v>
      </c>
      <c r="B33" s="3" t="s">
        <v>48</v>
      </c>
    </row>
    <row r="34" customFormat="false" ht="15" hidden="false" customHeight="true" outlineLevel="0" collapsed="false">
      <c r="A34" s="4" t="s">
        <v>49</v>
      </c>
      <c r="B34" s="3" t="s">
        <v>50</v>
      </c>
    </row>
    <row r="35" customFormat="false" ht="15" hidden="false" customHeight="true" outlineLevel="0" collapsed="false">
      <c r="A35" s="4" t="s">
        <v>51</v>
      </c>
      <c r="B35" s="3" t="s">
        <v>52</v>
      </c>
    </row>
    <row r="36" customFormat="false" ht="15" hidden="false" customHeight="true" outlineLevel="0" collapsed="false">
      <c r="A36" s="4"/>
      <c r="B36" s="3"/>
    </row>
    <row r="37" customFormat="false" ht="15" hidden="false" customHeight="true" outlineLevel="0" collapsed="false">
      <c r="A37" s="5" t="s">
        <v>53</v>
      </c>
      <c r="B37" s="3"/>
    </row>
    <row r="38" customFormat="false" ht="15" hidden="false" customHeight="true" outlineLevel="0" collapsed="false">
      <c r="A38" s="4" t="s">
        <v>54</v>
      </c>
      <c r="B38" s="3" t="s">
        <v>55</v>
      </c>
    </row>
    <row r="39" customFormat="false" ht="15" hidden="false" customHeight="true" outlineLevel="0" collapsed="false">
      <c r="A39" s="4" t="s">
        <v>56</v>
      </c>
      <c r="B39" s="3" t="s">
        <v>57</v>
      </c>
    </row>
    <row r="40" customFormat="false" ht="15" hidden="false" customHeight="true" outlineLevel="0" collapsed="false">
      <c r="A40" s="4" t="s">
        <v>58</v>
      </c>
      <c r="B40" s="3" t="s">
        <v>59</v>
      </c>
    </row>
    <row r="41" customFormat="false" ht="15" hidden="false" customHeight="true" outlineLevel="0" collapsed="false">
      <c r="A41" s="4" t="s">
        <v>60</v>
      </c>
      <c r="B41" s="3" t="s">
        <v>61</v>
      </c>
    </row>
    <row r="42" customFormat="false" ht="15" hidden="false" customHeight="true" outlineLevel="0" collapsed="false">
      <c r="A42" s="4" t="s">
        <v>62</v>
      </c>
      <c r="B42" s="3" t="s">
        <v>63</v>
      </c>
    </row>
    <row r="43" customFormat="false" ht="15" hidden="false" customHeight="true" outlineLevel="0" collapsed="false">
      <c r="A43" s="4" t="s">
        <v>64</v>
      </c>
      <c r="B43" s="3" t="s">
        <v>65</v>
      </c>
    </row>
    <row r="44" customFormat="false" ht="15" hidden="false" customHeight="true" outlineLevel="0" collapsed="false">
      <c r="A44" s="4" t="s">
        <v>66</v>
      </c>
      <c r="B44" s="3" t="s">
        <v>67</v>
      </c>
    </row>
    <row r="45" customFormat="false" ht="15" hidden="false" customHeight="true" outlineLevel="0" collapsed="false">
      <c r="A45" s="4" t="s">
        <v>68</v>
      </c>
      <c r="B45" s="3"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15"/>
    <col collapsed="false" customWidth="true" hidden="false" outlineLevel="0" max="4" min="4" style="1" width="16"/>
    <col collapsed="false" customWidth="true" hidden="false" outlineLevel="0" max="5" min="5" style="1" width="14"/>
    <col collapsed="false" customWidth="true" hidden="false" outlineLevel="0" max="6" min="6" style="1" width="36"/>
    <col collapsed="false" customWidth="true" hidden="false" outlineLevel="0" max="8" min="7" style="1" width="11"/>
    <col collapsed="false" customWidth="true" hidden="false" outlineLevel="0" max="9" min="9" style="1" width="12"/>
    <col collapsed="false" customWidth="true" hidden="false" outlineLevel="0" max="10" min="10" style="1" width="22"/>
    <col collapsed="false" customWidth="true" hidden="false" outlineLevel="0" max="11" min="11" style="1" width="38"/>
    <col collapsed="false" customWidth="true" hidden="false" outlineLevel="0" max="12" min="12" style="1" width="10"/>
    <col collapsed="false" customWidth="true" hidden="false" outlineLevel="0" max="13" min="13" style="1" width="12"/>
    <col collapsed="false" customWidth="true" hidden="false" outlineLevel="0" max="14" min="14" style="1" width="86"/>
    <col collapsed="false" customWidth="true" hidden="false" outlineLevel="0" max="15" min="15" style="1" width="9"/>
    <col collapsed="false" customWidth="true" hidden="false" outlineLevel="0" max="17" min="16" style="1" width="12"/>
    <col collapsed="false" customWidth="true" hidden="false" outlineLevel="0" max="18" min="18" style="1" width="26"/>
  </cols>
  <sheetData>
    <row r="1" customFormat="false" ht="33.75" hidden="false" customHeight="true" outlineLevel="0" collapsed="false">
      <c r="A1" s="6" t="s">
        <v>70</v>
      </c>
      <c r="B1" s="6" t="s">
        <v>71</v>
      </c>
      <c r="C1" s="6" t="s">
        <v>72</v>
      </c>
      <c r="D1" s="6" t="s">
        <v>73</v>
      </c>
      <c r="E1" s="6" t="s">
        <v>74</v>
      </c>
      <c r="F1" s="6" t="s">
        <v>75</v>
      </c>
      <c r="G1" s="6" t="s">
        <v>76</v>
      </c>
      <c r="H1" s="6" t="s">
        <v>77</v>
      </c>
      <c r="I1" s="6" t="s">
        <v>78</v>
      </c>
      <c r="J1" s="6" t="s">
        <v>79</v>
      </c>
      <c r="K1" s="6" t="s">
        <v>80</v>
      </c>
      <c r="L1" s="6" t="s">
        <v>81</v>
      </c>
      <c r="M1" s="6" t="s">
        <v>82</v>
      </c>
      <c r="N1" s="6" t="s">
        <v>83</v>
      </c>
      <c r="O1" s="6" t="s">
        <v>84</v>
      </c>
      <c r="P1" s="6" t="s">
        <v>85</v>
      </c>
      <c r="Q1" s="6" t="s">
        <v>86</v>
      </c>
      <c r="R1" s="6" t="s">
        <v>87</v>
      </c>
    </row>
    <row r="2" customFormat="false" ht="45.75" hidden="false" customHeight="true" outlineLevel="0" collapsed="false">
      <c r="A2" s="7" t="n">
        <v>0</v>
      </c>
      <c r="B2" s="7" t="s">
        <v>88</v>
      </c>
      <c r="C2" s="8" t="n">
        <v>46263</v>
      </c>
      <c r="D2" s="7" t="s">
        <v>89</v>
      </c>
      <c r="E2" s="7" t="s">
        <v>90</v>
      </c>
      <c r="F2" s="9" t="s">
        <v>91</v>
      </c>
      <c r="G2" s="7" t="n">
        <v>140</v>
      </c>
      <c r="H2" s="10" t="n">
        <v>16</v>
      </c>
      <c r="I2" s="11"/>
      <c r="J2" s="7" t="s">
        <v>92</v>
      </c>
      <c r="K2" s="7" t="str">
        <f aca="false">"À l'effort, pas à l'allure — marche en côte assumée"</f>
        <v>À l'effort, pas à l'allure — marche en côte assumée</v>
      </c>
      <c r="L2" s="7" t="n">
        <v>6</v>
      </c>
      <c r="M2" s="12" t="n">
        <f aca="false">G2*L2</f>
        <v>840</v>
      </c>
      <c r="N2" s="9" t="s">
        <v>93</v>
      </c>
      <c r="O2" s="13"/>
      <c r="P2" s="13"/>
      <c r="Q2" s="14" t="str">
        <f aca="false">IF(P2="","",G2*P2)</f>
        <v/>
      </c>
      <c r="R2" s="13"/>
    </row>
    <row r="3" customFormat="false" ht="15" hidden="false" customHeight="true" outlineLevel="0" collapsed="false">
      <c r="A3" s="15" t="n">
        <v>0</v>
      </c>
      <c r="B3" s="15" t="s">
        <v>88</v>
      </c>
      <c r="C3" s="16" t="n">
        <v>46264</v>
      </c>
      <c r="D3" s="15" t="s">
        <v>94</v>
      </c>
      <c r="E3" s="15" t="s">
        <v>95</v>
      </c>
      <c r="F3" s="17" t="s">
        <v>96</v>
      </c>
      <c r="G3" s="15" t="n">
        <v>0</v>
      </c>
      <c r="H3" s="18"/>
      <c r="I3" s="19"/>
      <c r="J3" s="15"/>
      <c r="K3" s="15"/>
      <c r="L3" s="15" t="n">
        <v>0</v>
      </c>
      <c r="M3" s="20" t="n">
        <f aca="false">G3*L3</f>
        <v>0</v>
      </c>
      <c r="N3" s="17" t="s">
        <v>97</v>
      </c>
      <c r="O3" s="21"/>
      <c r="P3" s="21"/>
      <c r="Q3" s="22" t="str">
        <f aca="false">IF(P3="","",G3*P3)</f>
        <v/>
      </c>
      <c r="R3" s="21"/>
    </row>
    <row r="4" customFormat="false" ht="45.75" hidden="false" customHeight="true" outlineLevel="0" collapsed="false">
      <c r="A4" s="23" t="n">
        <v>1</v>
      </c>
      <c r="B4" s="23" t="s">
        <v>98</v>
      </c>
      <c r="C4" s="24" t="n">
        <v>46265</v>
      </c>
      <c r="D4" s="23" t="s">
        <v>99</v>
      </c>
      <c r="E4" s="23" t="s">
        <v>100</v>
      </c>
      <c r="F4" s="25" t="s">
        <v>101</v>
      </c>
      <c r="G4" s="23" t="n">
        <v>60</v>
      </c>
      <c r="H4" s="26"/>
      <c r="I4" s="27"/>
      <c r="J4" s="23"/>
      <c r="K4" s="23"/>
      <c r="L4" s="23" t="n">
        <v>5</v>
      </c>
      <c r="M4" s="28" t="n">
        <f aca="false">G4*L4</f>
        <v>300</v>
      </c>
      <c r="N4" s="25" t="s">
        <v>102</v>
      </c>
      <c r="O4" s="13"/>
      <c r="P4" s="13"/>
      <c r="Q4" s="14" t="str">
        <f aca="false">IF(P4="","",G4*P4)</f>
        <v/>
      </c>
      <c r="R4" s="13"/>
    </row>
    <row r="5" customFormat="false" ht="23.25" hidden="false" customHeight="true" outlineLevel="0" collapsed="false">
      <c r="A5" s="29" t="n">
        <v>1</v>
      </c>
      <c r="B5" s="29" t="s">
        <v>98</v>
      </c>
      <c r="C5" s="30" t="n">
        <v>46266</v>
      </c>
      <c r="D5" s="29" t="s">
        <v>103</v>
      </c>
      <c r="E5" s="29" t="s">
        <v>104</v>
      </c>
      <c r="F5" s="31" t="s">
        <v>105</v>
      </c>
      <c r="G5" s="29" t="n">
        <v>60</v>
      </c>
      <c r="H5" s="32"/>
      <c r="I5" s="33" t="n">
        <v>2400</v>
      </c>
      <c r="J5" s="29"/>
      <c r="K5" s="29"/>
      <c r="L5" s="29" t="n">
        <v>5</v>
      </c>
      <c r="M5" s="34" t="n">
        <f aca="false">G5*L5</f>
        <v>300</v>
      </c>
      <c r="N5" s="31" t="s">
        <v>106</v>
      </c>
      <c r="O5" s="13"/>
      <c r="P5" s="13"/>
      <c r="Q5" s="14" t="str">
        <f aca="false">IF(P5="","",G5*P5)</f>
        <v/>
      </c>
      <c r="R5" s="13"/>
    </row>
    <row r="6" customFormat="false" ht="23.25" hidden="false" customHeight="true" outlineLevel="0" collapsed="false">
      <c r="A6" s="35" t="n">
        <v>1</v>
      </c>
      <c r="B6" s="35" t="s">
        <v>98</v>
      </c>
      <c r="C6" s="36" t="n">
        <v>46266</v>
      </c>
      <c r="D6" s="35" t="s">
        <v>107</v>
      </c>
      <c r="E6" s="35" t="s">
        <v>108</v>
      </c>
      <c r="F6" s="37" t="s">
        <v>109</v>
      </c>
      <c r="G6" s="35" t="n">
        <v>90</v>
      </c>
      <c r="H6" s="38"/>
      <c r="I6" s="39"/>
      <c r="J6" s="35"/>
      <c r="K6" s="35"/>
      <c r="L6" s="35" t="n">
        <v>4</v>
      </c>
      <c r="M6" s="40" t="n">
        <f aca="false">G6*L6</f>
        <v>360</v>
      </c>
      <c r="N6" s="37" t="s">
        <v>110</v>
      </c>
      <c r="O6" s="13"/>
      <c r="P6" s="13"/>
      <c r="Q6" s="14" t="str">
        <f aca="false">IF(P6="","",G6*P6)</f>
        <v/>
      </c>
      <c r="R6" s="13"/>
    </row>
    <row r="7" customFormat="false" ht="34.5" hidden="false" customHeight="true" outlineLevel="0" collapsed="false">
      <c r="A7" s="15" t="n">
        <v>1</v>
      </c>
      <c r="B7" s="15" t="s">
        <v>98</v>
      </c>
      <c r="C7" s="16" t="n">
        <v>46267</v>
      </c>
      <c r="D7" s="15" t="s">
        <v>111</v>
      </c>
      <c r="E7" s="15" t="s">
        <v>95</v>
      </c>
      <c r="F7" s="17" t="s">
        <v>112</v>
      </c>
      <c r="G7" s="15" t="n">
        <v>0</v>
      </c>
      <c r="H7" s="18"/>
      <c r="I7" s="19"/>
      <c r="J7" s="15"/>
      <c r="K7" s="15"/>
      <c r="L7" s="15" t="n">
        <v>0</v>
      </c>
      <c r="M7" s="20" t="n">
        <f aca="false">G7*L7</f>
        <v>0</v>
      </c>
      <c r="N7" s="17" t="s">
        <v>113</v>
      </c>
      <c r="O7" s="21"/>
      <c r="P7" s="21"/>
      <c r="Q7" s="22" t="str">
        <f aca="false">IF(P7="","",G7*P7)</f>
        <v/>
      </c>
      <c r="R7" s="21"/>
    </row>
    <row r="8" customFormat="false" ht="23.25" hidden="false" customHeight="true" outlineLevel="0" collapsed="false">
      <c r="A8" s="15" t="n">
        <v>1</v>
      </c>
      <c r="B8" s="15" t="s">
        <v>98</v>
      </c>
      <c r="C8" s="16" t="n">
        <v>46268</v>
      </c>
      <c r="D8" s="15" t="s">
        <v>114</v>
      </c>
      <c r="E8" s="15" t="s">
        <v>95</v>
      </c>
      <c r="F8" s="17" t="s">
        <v>112</v>
      </c>
      <c r="G8" s="15" t="n">
        <v>0</v>
      </c>
      <c r="H8" s="18"/>
      <c r="I8" s="19"/>
      <c r="J8" s="15"/>
      <c r="K8" s="15"/>
      <c r="L8" s="15" t="n">
        <v>0</v>
      </c>
      <c r="M8" s="20" t="n">
        <f aca="false">G8*L8</f>
        <v>0</v>
      </c>
      <c r="N8" s="17" t="s">
        <v>115</v>
      </c>
      <c r="O8" s="21"/>
      <c r="P8" s="21"/>
      <c r="Q8" s="22" t="str">
        <f aca="false">IF(P8="","",G8*P8)</f>
        <v/>
      </c>
      <c r="R8" s="21"/>
    </row>
    <row r="9" customFormat="false" ht="23.25" hidden="false" customHeight="true" outlineLevel="0" collapsed="false">
      <c r="A9" s="15" t="n">
        <v>1</v>
      </c>
      <c r="B9" s="15" t="s">
        <v>98</v>
      </c>
      <c r="C9" s="16" t="n">
        <v>46269</v>
      </c>
      <c r="D9" s="15" t="s">
        <v>116</v>
      </c>
      <c r="E9" s="15" t="s">
        <v>95</v>
      </c>
      <c r="F9" s="17" t="s">
        <v>112</v>
      </c>
      <c r="G9" s="15" t="n">
        <v>0</v>
      </c>
      <c r="H9" s="18"/>
      <c r="I9" s="19"/>
      <c r="J9" s="15"/>
      <c r="K9" s="15"/>
      <c r="L9" s="15" t="n">
        <v>0</v>
      </c>
      <c r="M9" s="20" t="n">
        <f aca="false">G9*L9</f>
        <v>0</v>
      </c>
      <c r="N9" s="17" t="s">
        <v>117</v>
      </c>
      <c r="O9" s="21"/>
      <c r="P9" s="21"/>
      <c r="Q9" s="22" t="str">
        <f aca="false">IF(P9="","",G9*P9)</f>
        <v/>
      </c>
      <c r="R9" s="21"/>
    </row>
    <row r="10" customFormat="false" ht="23.25" hidden="false" customHeight="true" outlineLevel="0" collapsed="false">
      <c r="A10" s="15" t="n">
        <v>1</v>
      </c>
      <c r="B10" s="15" t="s">
        <v>98</v>
      </c>
      <c r="C10" s="16" t="n">
        <v>46270</v>
      </c>
      <c r="D10" s="15" t="s">
        <v>89</v>
      </c>
      <c r="E10" s="15" t="s">
        <v>95</v>
      </c>
      <c r="F10" s="17" t="s">
        <v>112</v>
      </c>
      <c r="G10" s="15" t="n">
        <v>0</v>
      </c>
      <c r="H10" s="18"/>
      <c r="I10" s="19"/>
      <c r="J10" s="15"/>
      <c r="K10" s="15"/>
      <c r="L10" s="15" t="n">
        <v>0</v>
      </c>
      <c r="M10" s="20" t="n">
        <f aca="false">G10*L10</f>
        <v>0</v>
      </c>
      <c r="N10" s="17" t="s">
        <v>118</v>
      </c>
      <c r="O10" s="21"/>
      <c r="P10" s="21"/>
      <c r="Q10" s="22" t="str">
        <f aca="false">IF(P10="","",G10*P10)</f>
        <v/>
      </c>
      <c r="R10" s="21"/>
    </row>
    <row r="11" customFormat="false" ht="34.5" hidden="false" customHeight="true" outlineLevel="0" collapsed="false">
      <c r="A11" s="7" t="n">
        <v>1</v>
      </c>
      <c r="B11" s="7" t="s">
        <v>98</v>
      </c>
      <c r="C11" s="8" t="n">
        <v>46271</v>
      </c>
      <c r="D11" s="7" t="s">
        <v>94</v>
      </c>
      <c r="E11" s="7" t="s">
        <v>90</v>
      </c>
      <c r="F11" s="9" t="s">
        <v>119</v>
      </c>
      <c r="G11" s="7" t="n">
        <v>65</v>
      </c>
      <c r="H11" s="10" t="n">
        <v>10</v>
      </c>
      <c r="I11" s="11"/>
      <c r="J11" s="7" t="s">
        <v>120</v>
      </c>
      <c r="K11" s="7" t="str">
        <f aca="false">"EF "&amp;TEXT((Allures!$C$13+75)/86400,"mm:ss")</f>
        <v>EF 06:27</v>
      </c>
      <c r="L11" s="7" t="n">
        <v>3</v>
      </c>
      <c r="M11" s="12" t="n">
        <f aca="false">G11*L11</f>
        <v>195</v>
      </c>
      <c r="N11" s="9" t="s">
        <v>121</v>
      </c>
      <c r="O11" s="13"/>
      <c r="P11" s="13"/>
      <c r="Q11" s="14" t="str">
        <f aca="false">IF(P11="","",G11*P11)</f>
        <v/>
      </c>
      <c r="R11" s="13"/>
    </row>
    <row r="12" customFormat="false" ht="34.5" hidden="false" customHeight="true" outlineLevel="0" collapsed="false">
      <c r="A12" s="23" t="n">
        <v>2</v>
      </c>
      <c r="B12" s="23" t="s">
        <v>122</v>
      </c>
      <c r="C12" s="24" t="n">
        <v>46272</v>
      </c>
      <c r="D12" s="23" t="s">
        <v>99</v>
      </c>
      <c r="E12" s="23" t="s">
        <v>100</v>
      </c>
      <c r="F12" s="25" t="s">
        <v>101</v>
      </c>
      <c r="G12" s="23" t="n">
        <v>70</v>
      </c>
      <c r="H12" s="26"/>
      <c r="I12" s="27"/>
      <c r="J12" s="23"/>
      <c r="K12" s="23"/>
      <c r="L12" s="23" t="n">
        <v>5</v>
      </c>
      <c r="M12" s="28" t="n">
        <f aca="false">G12*L12</f>
        <v>350</v>
      </c>
      <c r="N12" s="25" t="s">
        <v>123</v>
      </c>
      <c r="O12" s="13"/>
      <c r="P12" s="13"/>
      <c r="Q12" s="14" t="str">
        <f aca="false">IF(P12="","",G12*P12)</f>
        <v/>
      </c>
      <c r="R12" s="13"/>
    </row>
    <row r="13" customFormat="false" ht="23.25" hidden="false" customHeight="true" outlineLevel="0" collapsed="false">
      <c r="A13" s="29" t="n">
        <v>2</v>
      </c>
      <c r="B13" s="29" t="s">
        <v>122</v>
      </c>
      <c r="C13" s="30" t="n">
        <v>46273</v>
      </c>
      <c r="D13" s="29" t="s">
        <v>103</v>
      </c>
      <c r="E13" s="29" t="s">
        <v>104</v>
      </c>
      <c r="F13" s="31" t="s">
        <v>105</v>
      </c>
      <c r="G13" s="29" t="n">
        <v>55</v>
      </c>
      <c r="H13" s="32"/>
      <c r="I13" s="33" t="n">
        <v>2400</v>
      </c>
      <c r="J13" s="29"/>
      <c r="K13" s="29"/>
      <c r="L13" s="29" t="n">
        <v>5</v>
      </c>
      <c r="M13" s="34" t="n">
        <f aca="false">G13*L13</f>
        <v>275</v>
      </c>
      <c r="N13" s="31" t="s">
        <v>124</v>
      </c>
      <c r="O13" s="13"/>
      <c r="P13" s="13"/>
      <c r="Q13" s="14" t="str">
        <f aca="false">IF(P13="","",G13*P13)</f>
        <v/>
      </c>
      <c r="R13" s="13"/>
    </row>
    <row r="14" customFormat="false" ht="23.25" hidden="false" customHeight="true" outlineLevel="0" collapsed="false">
      <c r="A14" s="35" t="n">
        <v>2</v>
      </c>
      <c r="B14" s="35" t="s">
        <v>122</v>
      </c>
      <c r="C14" s="36" t="n">
        <v>46273</v>
      </c>
      <c r="D14" s="35" t="s">
        <v>107</v>
      </c>
      <c r="E14" s="35" t="s">
        <v>108</v>
      </c>
      <c r="F14" s="37" t="s">
        <v>125</v>
      </c>
      <c r="G14" s="35" t="n">
        <v>70</v>
      </c>
      <c r="H14" s="38"/>
      <c r="I14" s="39"/>
      <c r="J14" s="35"/>
      <c r="K14" s="35"/>
      <c r="L14" s="35" t="n">
        <v>4</v>
      </c>
      <c r="M14" s="40" t="n">
        <f aca="false">G14*L14</f>
        <v>280</v>
      </c>
      <c r="N14" s="37" t="s">
        <v>126</v>
      </c>
      <c r="O14" s="13"/>
      <c r="P14" s="13"/>
      <c r="Q14" s="14" t="str">
        <f aca="false">IF(P14="","",G14*P14)</f>
        <v/>
      </c>
      <c r="R14" s="13"/>
    </row>
    <row r="15" customFormat="false" ht="23.25" hidden="false" customHeight="true" outlineLevel="0" collapsed="false">
      <c r="A15" s="7" t="n">
        <v>2</v>
      </c>
      <c r="B15" s="7" t="s">
        <v>122</v>
      </c>
      <c r="C15" s="8" t="n">
        <v>46274</v>
      </c>
      <c r="D15" s="7" t="s">
        <v>111</v>
      </c>
      <c r="E15" s="7" t="s">
        <v>90</v>
      </c>
      <c r="F15" s="9" t="s">
        <v>127</v>
      </c>
      <c r="G15" s="7" t="n">
        <v>58</v>
      </c>
      <c r="H15" s="10" t="n">
        <v>10</v>
      </c>
      <c r="I15" s="11"/>
      <c r="J15" s="7" t="s">
        <v>120</v>
      </c>
      <c r="K15" s="7" t="str">
        <f aca="false">"EF "&amp;TEXT((Allures!$C$13+75)/86400,"mm:ss")</f>
        <v>EF 06:27</v>
      </c>
      <c r="L15" s="7" t="n">
        <v>3</v>
      </c>
      <c r="M15" s="12" t="n">
        <f aca="false">G15*L15</f>
        <v>174</v>
      </c>
      <c r="N15" s="9" t="s">
        <v>128</v>
      </c>
      <c r="O15" s="13"/>
      <c r="P15" s="13"/>
      <c r="Q15" s="14" t="str">
        <f aca="false">IF(P15="","",G15*P15)</f>
        <v/>
      </c>
      <c r="R15" s="13"/>
    </row>
    <row r="16" customFormat="false" ht="23.25" hidden="false" customHeight="true" outlineLevel="0" collapsed="false">
      <c r="A16" s="23" t="n">
        <v>2</v>
      </c>
      <c r="B16" s="23" t="s">
        <v>122</v>
      </c>
      <c r="C16" s="24" t="n">
        <v>46275</v>
      </c>
      <c r="D16" s="23" t="s">
        <v>114</v>
      </c>
      <c r="E16" s="23" t="s">
        <v>100</v>
      </c>
      <c r="F16" s="25" t="s">
        <v>129</v>
      </c>
      <c r="G16" s="23" t="n">
        <v>60</v>
      </c>
      <c r="H16" s="26" t="n">
        <v>1.2</v>
      </c>
      <c r="I16" s="27"/>
      <c r="J16" s="23"/>
      <c r="K16" s="23"/>
      <c r="L16" s="23" t="n">
        <v>5</v>
      </c>
      <c r="M16" s="28" t="n">
        <f aca="false">G16*L16</f>
        <v>300</v>
      </c>
      <c r="N16" s="25" t="s">
        <v>130</v>
      </c>
      <c r="O16" s="13"/>
      <c r="P16" s="13"/>
      <c r="Q16" s="14" t="str">
        <f aca="false">IF(P16="","",G16*P16)</f>
        <v/>
      </c>
      <c r="R16" s="13"/>
    </row>
    <row r="17" customFormat="false" ht="15" hidden="false" customHeight="true" outlineLevel="0" collapsed="false">
      <c r="A17" s="29" t="n">
        <v>2</v>
      </c>
      <c r="B17" s="29" t="s">
        <v>122</v>
      </c>
      <c r="C17" s="30" t="n">
        <v>46276</v>
      </c>
      <c r="D17" s="29" t="s">
        <v>131</v>
      </c>
      <c r="E17" s="29" t="s">
        <v>104</v>
      </c>
      <c r="F17" s="31" t="s">
        <v>132</v>
      </c>
      <c r="G17" s="29" t="n">
        <v>40</v>
      </c>
      <c r="H17" s="32"/>
      <c r="I17" s="33" t="n">
        <v>1800</v>
      </c>
      <c r="J17" s="29"/>
      <c r="K17" s="29"/>
      <c r="L17" s="29" t="n">
        <v>4</v>
      </c>
      <c r="M17" s="34" t="n">
        <f aca="false">G17*L17</f>
        <v>160</v>
      </c>
      <c r="N17" s="31" t="s">
        <v>133</v>
      </c>
      <c r="O17" s="13"/>
      <c r="P17" s="13"/>
      <c r="Q17" s="14" t="str">
        <f aca="false">IF(P17="","",G17*P17)</f>
        <v/>
      </c>
      <c r="R17" s="13"/>
    </row>
    <row r="18" customFormat="false" ht="23.25" hidden="false" customHeight="true" outlineLevel="0" collapsed="false">
      <c r="A18" s="35" t="n">
        <v>2</v>
      </c>
      <c r="B18" s="35" t="s">
        <v>122</v>
      </c>
      <c r="C18" s="36" t="n">
        <v>46276</v>
      </c>
      <c r="D18" s="35" t="s">
        <v>134</v>
      </c>
      <c r="E18" s="35" t="s">
        <v>108</v>
      </c>
      <c r="F18" s="37" t="s">
        <v>135</v>
      </c>
      <c r="G18" s="35" t="n">
        <v>52</v>
      </c>
      <c r="H18" s="38"/>
      <c r="I18" s="39"/>
      <c r="J18" s="35"/>
      <c r="K18" s="35"/>
      <c r="L18" s="35" t="n">
        <v>3</v>
      </c>
      <c r="M18" s="40" t="n">
        <f aca="false">G18*L18</f>
        <v>156</v>
      </c>
      <c r="N18" s="37" t="s">
        <v>136</v>
      </c>
      <c r="O18" s="13"/>
      <c r="P18" s="13"/>
      <c r="Q18" s="14" t="str">
        <f aca="false">IF(P18="","",G18*P18)</f>
        <v/>
      </c>
      <c r="R18" s="13"/>
    </row>
    <row r="19" customFormat="false" ht="23.25" hidden="false" customHeight="true" outlineLevel="0" collapsed="false">
      <c r="A19" s="7" t="n">
        <v>2</v>
      </c>
      <c r="B19" s="7" t="s">
        <v>122</v>
      </c>
      <c r="C19" s="8" t="n">
        <v>46277</v>
      </c>
      <c r="D19" s="7" t="s">
        <v>89</v>
      </c>
      <c r="E19" s="7" t="s">
        <v>90</v>
      </c>
      <c r="F19" s="9" t="s">
        <v>137</v>
      </c>
      <c r="G19" s="7" t="n">
        <v>75</v>
      </c>
      <c r="H19" s="10" t="n">
        <v>13</v>
      </c>
      <c r="I19" s="11"/>
      <c r="J19" s="7" t="s">
        <v>120</v>
      </c>
      <c r="K19" s="7" t="str">
        <f aca="false">"EF "&amp;TEXT((Allures!$C$13+75)/86400,"mm:ss")</f>
        <v>EF 06:27</v>
      </c>
      <c r="L19" s="7" t="n">
        <v>3</v>
      </c>
      <c r="M19" s="12" t="n">
        <f aca="false">G19*L19</f>
        <v>225</v>
      </c>
      <c r="N19" s="9" t="s">
        <v>138</v>
      </c>
      <c r="O19" s="13"/>
      <c r="P19" s="13"/>
      <c r="Q19" s="14" t="str">
        <f aca="false">IF(P19="","",G19*P19)</f>
        <v/>
      </c>
      <c r="R19" s="13"/>
    </row>
    <row r="20" customFormat="false" ht="15" hidden="false" customHeight="true" outlineLevel="0" collapsed="false">
      <c r="A20" s="15" t="n">
        <v>2</v>
      </c>
      <c r="B20" s="15" t="s">
        <v>122</v>
      </c>
      <c r="C20" s="16" t="n">
        <v>46278</v>
      </c>
      <c r="D20" s="15" t="s">
        <v>94</v>
      </c>
      <c r="E20" s="15" t="s">
        <v>95</v>
      </c>
      <c r="F20" s="17" t="s">
        <v>96</v>
      </c>
      <c r="G20" s="15" t="n">
        <v>0</v>
      </c>
      <c r="H20" s="18"/>
      <c r="I20" s="19"/>
      <c r="J20" s="15"/>
      <c r="K20" s="15"/>
      <c r="L20" s="15" t="n">
        <v>0</v>
      </c>
      <c r="M20" s="20" t="n">
        <f aca="false">G20*L20</f>
        <v>0</v>
      </c>
      <c r="N20" s="17" t="s">
        <v>139</v>
      </c>
      <c r="O20" s="21"/>
      <c r="P20" s="21"/>
      <c r="Q20" s="22" t="str">
        <f aca="false">IF(P20="","",G20*P20)</f>
        <v/>
      </c>
      <c r="R20" s="21"/>
    </row>
    <row r="21" customFormat="false" ht="34.5" hidden="false" customHeight="true" outlineLevel="0" collapsed="false">
      <c r="A21" s="23" t="n">
        <v>3</v>
      </c>
      <c r="B21" s="23" t="s">
        <v>122</v>
      </c>
      <c r="C21" s="24" t="n">
        <v>46279</v>
      </c>
      <c r="D21" s="23" t="s">
        <v>99</v>
      </c>
      <c r="E21" s="23" t="s">
        <v>100</v>
      </c>
      <c r="F21" s="25" t="s">
        <v>101</v>
      </c>
      <c r="G21" s="23" t="n">
        <v>80</v>
      </c>
      <c r="H21" s="26"/>
      <c r="I21" s="27"/>
      <c r="J21" s="23"/>
      <c r="K21" s="23"/>
      <c r="L21" s="23" t="n">
        <v>6</v>
      </c>
      <c r="M21" s="28" t="n">
        <f aca="false">G21*L21</f>
        <v>480</v>
      </c>
      <c r="N21" s="25" t="s">
        <v>140</v>
      </c>
      <c r="O21" s="13"/>
      <c r="P21" s="13"/>
      <c r="Q21" s="14" t="str">
        <f aca="false">IF(P21="","",G21*P21)</f>
        <v/>
      </c>
      <c r="R21" s="13"/>
    </row>
    <row r="22" customFormat="false" ht="23.25" hidden="false" customHeight="true" outlineLevel="0" collapsed="false">
      <c r="A22" s="29" t="n">
        <v>3</v>
      </c>
      <c r="B22" s="29" t="s">
        <v>122</v>
      </c>
      <c r="C22" s="30" t="n">
        <v>46280</v>
      </c>
      <c r="D22" s="29" t="s">
        <v>141</v>
      </c>
      <c r="E22" s="29" t="s">
        <v>104</v>
      </c>
      <c r="F22" s="31" t="s">
        <v>105</v>
      </c>
      <c r="G22" s="29" t="n">
        <v>60</v>
      </c>
      <c r="H22" s="32"/>
      <c r="I22" s="33" t="n">
        <v>2600</v>
      </c>
      <c r="J22" s="29"/>
      <c r="K22" s="29"/>
      <c r="L22" s="29" t="n">
        <v>5</v>
      </c>
      <c r="M22" s="34" t="n">
        <f aca="false">G22*L22</f>
        <v>300</v>
      </c>
      <c r="N22" s="31" t="s">
        <v>142</v>
      </c>
      <c r="O22" s="13"/>
      <c r="P22" s="13"/>
      <c r="Q22" s="14" t="str">
        <f aca="false">IF(P22="","",G22*P22)</f>
        <v/>
      </c>
      <c r="R22" s="13"/>
    </row>
    <row r="23" customFormat="false" ht="23.25" hidden="false" customHeight="true" outlineLevel="0" collapsed="false">
      <c r="A23" s="7" t="n">
        <v>3</v>
      </c>
      <c r="B23" s="7" t="s">
        <v>122</v>
      </c>
      <c r="C23" s="8" t="n">
        <v>46281</v>
      </c>
      <c r="D23" s="7" t="s">
        <v>111</v>
      </c>
      <c r="E23" s="7" t="s">
        <v>90</v>
      </c>
      <c r="F23" s="9" t="s">
        <v>127</v>
      </c>
      <c r="G23" s="7" t="n">
        <v>63</v>
      </c>
      <c r="H23" s="10" t="n">
        <v>11</v>
      </c>
      <c r="I23" s="11"/>
      <c r="J23" s="7" t="s">
        <v>120</v>
      </c>
      <c r="K23" s="7" t="str">
        <f aca="false">"EF "&amp;TEXT((Allures!$C$13+75)/86400,"mm:ss")</f>
        <v>EF 06:27</v>
      </c>
      <c r="L23" s="7" t="n">
        <v>3</v>
      </c>
      <c r="M23" s="12" t="n">
        <f aca="false">G23*L23</f>
        <v>189</v>
      </c>
      <c r="N23" s="9" t="s">
        <v>143</v>
      </c>
      <c r="O23" s="13"/>
      <c r="P23" s="13"/>
      <c r="Q23" s="14" t="str">
        <f aca="false">IF(P23="","",G23*P23)</f>
        <v/>
      </c>
      <c r="R23" s="13"/>
    </row>
    <row r="24" customFormat="false" ht="15" hidden="false" customHeight="true" outlineLevel="0" collapsed="false">
      <c r="A24" s="23" t="n">
        <v>3</v>
      </c>
      <c r="B24" s="23" t="s">
        <v>122</v>
      </c>
      <c r="C24" s="24" t="n">
        <v>46282</v>
      </c>
      <c r="D24" s="23" t="s">
        <v>114</v>
      </c>
      <c r="E24" s="23" t="s">
        <v>100</v>
      </c>
      <c r="F24" s="25" t="s">
        <v>144</v>
      </c>
      <c r="G24" s="23" t="n">
        <v>45</v>
      </c>
      <c r="H24" s="26" t="n">
        <v>1.2</v>
      </c>
      <c r="I24" s="27"/>
      <c r="J24" s="23"/>
      <c r="K24" s="23"/>
      <c r="L24" s="23" t="n">
        <v>5</v>
      </c>
      <c r="M24" s="28" t="n">
        <f aca="false">G24*L24</f>
        <v>225</v>
      </c>
      <c r="N24" s="25" t="s">
        <v>145</v>
      </c>
      <c r="O24" s="13"/>
      <c r="P24" s="13"/>
      <c r="Q24" s="14" t="str">
        <f aca="false">IF(P24="","",G24*P24)</f>
        <v/>
      </c>
      <c r="R24" s="13"/>
    </row>
    <row r="25" customFormat="false" ht="15" hidden="false" customHeight="true" outlineLevel="0" collapsed="false">
      <c r="A25" s="29" t="n">
        <v>3</v>
      </c>
      <c r="B25" s="29" t="s">
        <v>122</v>
      </c>
      <c r="C25" s="30" t="n">
        <v>46283</v>
      </c>
      <c r="D25" s="29" t="s">
        <v>116</v>
      </c>
      <c r="E25" s="29" t="s">
        <v>104</v>
      </c>
      <c r="F25" s="31" t="s">
        <v>132</v>
      </c>
      <c r="G25" s="29" t="n">
        <v>45</v>
      </c>
      <c r="H25" s="32"/>
      <c r="I25" s="33" t="n">
        <v>2000</v>
      </c>
      <c r="J25" s="29"/>
      <c r="K25" s="29"/>
      <c r="L25" s="29" t="n">
        <v>4</v>
      </c>
      <c r="M25" s="34" t="n">
        <f aca="false">G25*L25</f>
        <v>180</v>
      </c>
      <c r="N25" s="31" t="s">
        <v>146</v>
      </c>
      <c r="O25" s="13"/>
      <c r="P25" s="13"/>
      <c r="Q25" s="14" t="str">
        <f aca="false">IF(P25="","",G25*P25)</f>
        <v/>
      </c>
      <c r="R25" s="13"/>
    </row>
    <row r="26" customFormat="false" ht="45.75" hidden="false" customHeight="true" outlineLevel="0" collapsed="false">
      <c r="A26" s="7" t="n">
        <v>3</v>
      </c>
      <c r="B26" s="7" t="s">
        <v>122</v>
      </c>
      <c r="C26" s="8" t="n">
        <v>46284</v>
      </c>
      <c r="D26" s="7" t="s">
        <v>89</v>
      </c>
      <c r="E26" s="7" t="s">
        <v>90</v>
      </c>
      <c r="F26" s="9" t="s">
        <v>147</v>
      </c>
      <c r="G26" s="7" t="n">
        <v>235</v>
      </c>
      <c r="H26" s="10" t="n">
        <v>30</v>
      </c>
      <c r="I26" s="11"/>
      <c r="J26" s="7" t="s">
        <v>92</v>
      </c>
      <c r="K26" s="7" t="str">
        <f aca="false">"À l'effort, pas à l'allure — marche en côte assumée"</f>
        <v>À l'effort, pas à l'allure — marche en côte assumée</v>
      </c>
      <c r="L26" s="7" t="n">
        <v>7</v>
      </c>
      <c r="M26" s="12" t="n">
        <f aca="false">G26*L26</f>
        <v>1645</v>
      </c>
      <c r="N26" s="9" t="s">
        <v>148</v>
      </c>
      <c r="O26" s="13"/>
      <c r="P26" s="13"/>
      <c r="Q26" s="14" t="str">
        <f aca="false">IF(P26="","",G26*P26)</f>
        <v/>
      </c>
      <c r="R26" s="13"/>
    </row>
    <row r="27" customFormat="false" ht="15" hidden="false" customHeight="true" outlineLevel="0" collapsed="false">
      <c r="A27" s="15" t="n">
        <v>3</v>
      </c>
      <c r="B27" s="15" t="s">
        <v>122</v>
      </c>
      <c r="C27" s="16" t="n">
        <v>46285</v>
      </c>
      <c r="D27" s="15" t="s">
        <v>94</v>
      </c>
      <c r="E27" s="15" t="s">
        <v>95</v>
      </c>
      <c r="F27" s="17" t="s">
        <v>96</v>
      </c>
      <c r="G27" s="15" t="n">
        <v>0</v>
      </c>
      <c r="H27" s="18"/>
      <c r="I27" s="19"/>
      <c r="J27" s="15"/>
      <c r="K27" s="15"/>
      <c r="L27" s="15" t="n">
        <v>0</v>
      </c>
      <c r="M27" s="20" t="n">
        <f aca="false">G27*L27</f>
        <v>0</v>
      </c>
      <c r="N27" s="17" t="s">
        <v>149</v>
      </c>
      <c r="O27" s="21"/>
      <c r="P27" s="21"/>
      <c r="Q27" s="22" t="str">
        <f aca="false">IF(P27="","",G27*P27)</f>
        <v/>
      </c>
      <c r="R27" s="21"/>
    </row>
    <row r="28" customFormat="false" ht="34.5" hidden="false" customHeight="true" outlineLevel="0" collapsed="false">
      <c r="A28" s="23" t="n">
        <v>4</v>
      </c>
      <c r="B28" s="23" t="s">
        <v>150</v>
      </c>
      <c r="C28" s="24" t="n">
        <v>46286</v>
      </c>
      <c r="D28" s="23" t="s">
        <v>99</v>
      </c>
      <c r="E28" s="23" t="s">
        <v>100</v>
      </c>
      <c r="F28" s="25" t="s">
        <v>101</v>
      </c>
      <c r="G28" s="23" t="n">
        <v>80</v>
      </c>
      <c r="H28" s="26"/>
      <c r="I28" s="27"/>
      <c r="J28" s="23"/>
      <c r="K28" s="23"/>
      <c r="L28" s="23" t="n">
        <v>6</v>
      </c>
      <c r="M28" s="28" t="n">
        <f aca="false">G28*L28</f>
        <v>480</v>
      </c>
      <c r="N28" s="25" t="s">
        <v>140</v>
      </c>
      <c r="O28" s="13"/>
      <c r="P28" s="13"/>
      <c r="Q28" s="14" t="str">
        <f aca="false">IF(P28="","",G28*P28)</f>
        <v/>
      </c>
      <c r="R28" s="13"/>
    </row>
    <row r="29" customFormat="false" ht="23.25" hidden="false" customHeight="true" outlineLevel="0" collapsed="false">
      <c r="A29" s="29" t="n">
        <v>4</v>
      </c>
      <c r="B29" s="29" t="s">
        <v>150</v>
      </c>
      <c r="C29" s="30" t="n">
        <v>46287</v>
      </c>
      <c r="D29" s="29" t="s">
        <v>103</v>
      </c>
      <c r="E29" s="29" t="s">
        <v>104</v>
      </c>
      <c r="F29" s="31" t="s">
        <v>105</v>
      </c>
      <c r="G29" s="29" t="n">
        <v>65</v>
      </c>
      <c r="H29" s="32"/>
      <c r="I29" s="33" t="n">
        <v>2800</v>
      </c>
      <c r="J29" s="29"/>
      <c r="K29" s="29"/>
      <c r="L29" s="29" t="n">
        <v>5</v>
      </c>
      <c r="M29" s="34" t="n">
        <f aca="false">G29*L29</f>
        <v>325</v>
      </c>
      <c r="N29" s="31" t="s">
        <v>151</v>
      </c>
      <c r="O29" s="13"/>
      <c r="P29" s="13"/>
      <c r="Q29" s="14" t="str">
        <f aca="false">IF(P29="","",G29*P29)</f>
        <v/>
      </c>
      <c r="R29" s="13"/>
    </row>
    <row r="30" customFormat="false" ht="23.25" hidden="false" customHeight="true" outlineLevel="0" collapsed="false">
      <c r="A30" s="35" t="n">
        <v>4</v>
      </c>
      <c r="B30" s="35" t="s">
        <v>150</v>
      </c>
      <c r="C30" s="36" t="n">
        <v>46287</v>
      </c>
      <c r="D30" s="35" t="s">
        <v>107</v>
      </c>
      <c r="E30" s="35" t="s">
        <v>108</v>
      </c>
      <c r="F30" s="37" t="s">
        <v>125</v>
      </c>
      <c r="G30" s="35" t="n">
        <v>82</v>
      </c>
      <c r="H30" s="38"/>
      <c r="I30" s="39"/>
      <c r="J30" s="35"/>
      <c r="K30" s="35"/>
      <c r="L30" s="35" t="n">
        <v>4</v>
      </c>
      <c r="M30" s="40" t="n">
        <f aca="false">G30*L30</f>
        <v>328</v>
      </c>
      <c r="N30" s="37" t="s">
        <v>126</v>
      </c>
      <c r="O30" s="13"/>
      <c r="P30" s="13"/>
      <c r="Q30" s="14" t="str">
        <f aca="false">IF(P30="","",G30*P30)</f>
        <v/>
      </c>
      <c r="R30" s="13"/>
    </row>
    <row r="31" customFormat="false" ht="23.25" hidden="false" customHeight="true" outlineLevel="0" collapsed="false">
      <c r="A31" s="7" t="n">
        <v>4</v>
      </c>
      <c r="B31" s="7" t="s">
        <v>150</v>
      </c>
      <c r="C31" s="8" t="n">
        <v>46288</v>
      </c>
      <c r="D31" s="7" t="s">
        <v>111</v>
      </c>
      <c r="E31" s="7" t="s">
        <v>90</v>
      </c>
      <c r="F31" s="9" t="s">
        <v>127</v>
      </c>
      <c r="G31" s="7" t="n">
        <v>58</v>
      </c>
      <c r="H31" s="10" t="n">
        <v>10</v>
      </c>
      <c r="I31" s="11"/>
      <c r="J31" s="7" t="s">
        <v>120</v>
      </c>
      <c r="K31" s="7" t="str">
        <f aca="false">"EF "&amp;TEXT((Allures!$C$13+75)/86400,"mm:ss")</f>
        <v>EF 06:27</v>
      </c>
      <c r="L31" s="7" t="n">
        <v>3</v>
      </c>
      <c r="M31" s="12" t="n">
        <f aca="false">G31*L31</f>
        <v>174</v>
      </c>
      <c r="N31" s="9" t="s">
        <v>128</v>
      </c>
      <c r="O31" s="13"/>
      <c r="P31" s="13"/>
      <c r="Q31" s="14" t="str">
        <f aca="false">IF(P31="","",G31*P31)</f>
        <v/>
      </c>
      <c r="R31" s="13"/>
    </row>
    <row r="32" customFormat="false" ht="23.25" hidden="false" customHeight="true" outlineLevel="0" collapsed="false">
      <c r="A32" s="23" t="n">
        <v>4</v>
      </c>
      <c r="B32" s="23" t="s">
        <v>150</v>
      </c>
      <c r="C32" s="24" t="n">
        <v>46289</v>
      </c>
      <c r="D32" s="23" t="s">
        <v>114</v>
      </c>
      <c r="E32" s="23" t="s">
        <v>100</v>
      </c>
      <c r="F32" s="25" t="s">
        <v>152</v>
      </c>
      <c r="G32" s="23" t="n">
        <v>75</v>
      </c>
      <c r="H32" s="26" t="n">
        <v>2</v>
      </c>
      <c r="I32" s="27"/>
      <c r="J32" s="23"/>
      <c r="K32" s="23"/>
      <c r="L32" s="23" t="n">
        <v>6</v>
      </c>
      <c r="M32" s="28" t="n">
        <f aca="false">G32*L32</f>
        <v>450</v>
      </c>
      <c r="N32" s="25" t="s">
        <v>153</v>
      </c>
      <c r="O32" s="13"/>
      <c r="P32" s="13"/>
      <c r="Q32" s="14" t="str">
        <f aca="false">IF(P32="","",G32*P32)</f>
        <v/>
      </c>
      <c r="R32" s="13"/>
    </row>
    <row r="33" customFormat="false" ht="15" hidden="false" customHeight="true" outlineLevel="0" collapsed="false">
      <c r="A33" s="29" t="n">
        <v>4</v>
      </c>
      <c r="B33" s="29" t="s">
        <v>150</v>
      </c>
      <c r="C33" s="30" t="n">
        <v>46290</v>
      </c>
      <c r="D33" s="29" t="s">
        <v>116</v>
      </c>
      <c r="E33" s="29" t="s">
        <v>104</v>
      </c>
      <c r="F33" s="31" t="s">
        <v>132</v>
      </c>
      <c r="G33" s="29" t="n">
        <v>50</v>
      </c>
      <c r="H33" s="32"/>
      <c r="I33" s="33" t="n">
        <v>2200</v>
      </c>
      <c r="J33" s="29"/>
      <c r="K33" s="29"/>
      <c r="L33" s="29" t="n">
        <v>4</v>
      </c>
      <c r="M33" s="34" t="n">
        <f aca="false">G33*L33</f>
        <v>200</v>
      </c>
      <c r="N33" s="31" t="s">
        <v>154</v>
      </c>
      <c r="O33" s="13"/>
      <c r="P33" s="13"/>
      <c r="Q33" s="14" t="str">
        <f aca="false">IF(P33="","",G33*P33)</f>
        <v/>
      </c>
      <c r="R33" s="13"/>
    </row>
    <row r="34" customFormat="false" ht="23.25" hidden="false" customHeight="true" outlineLevel="0" collapsed="false">
      <c r="A34" s="7" t="n">
        <v>4</v>
      </c>
      <c r="B34" s="7" t="s">
        <v>150</v>
      </c>
      <c r="C34" s="8" t="n">
        <v>46291</v>
      </c>
      <c r="D34" s="7" t="s">
        <v>89</v>
      </c>
      <c r="E34" s="7" t="s">
        <v>90</v>
      </c>
      <c r="F34" s="9" t="s">
        <v>137</v>
      </c>
      <c r="G34" s="7" t="n">
        <v>70</v>
      </c>
      <c r="H34" s="10" t="n">
        <v>12</v>
      </c>
      <c r="I34" s="11"/>
      <c r="J34" s="7" t="s">
        <v>120</v>
      </c>
      <c r="K34" s="7" t="str">
        <f aca="false">"EF "&amp;TEXT((Allures!$C$13+75)/86400,"mm:ss")</f>
        <v>EF 06:27</v>
      </c>
      <c r="L34" s="7" t="n">
        <v>3</v>
      </c>
      <c r="M34" s="12" t="n">
        <f aca="false">G34*L34</f>
        <v>210</v>
      </c>
      <c r="N34" s="9" t="s">
        <v>155</v>
      </c>
      <c r="O34" s="13"/>
      <c r="P34" s="13"/>
      <c r="Q34" s="14" t="str">
        <f aca="false">IF(P34="","",G34*P34)</f>
        <v/>
      </c>
      <c r="R34" s="13"/>
    </row>
    <row r="35" customFormat="false" ht="15" hidden="false" customHeight="true" outlineLevel="0" collapsed="false">
      <c r="A35" s="15" t="n">
        <v>4</v>
      </c>
      <c r="B35" s="15" t="s">
        <v>150</v>
      </c>
      <c r="C35" s="16" t="n">
        <v>46292</v>
      </c>
      <c r="D35" s="15" t="s">
        <v>94</v>
      </c>
      <c r="E35" s="15" t="s">
        <v>95</v>
      </c>
      <c r="F35" s="17" t="s">
        <v>96</v>
      </c>
      <c r="G35" s="15" t="n">
        <v>0</v>
      </c>
      <c r="H35" s="18"/>
      <c r="I35" s="19"/>
      <c r="J35" s="15"/>
      <c r="K35" s="15"/>
      <c r="L35" s="15" t="n">
        <v>0</v>
      </c>
      <c r="M35" s="20" t="n">
        <f aca="false">G35*L35</f>
        <v>0</v>
      </c>
      <c r="N35" s="17" t="s">
        <v>139</v>
      </c>
      <c r="O35" s="21"/>
      <c r="P35" s="21"/>
      <c r="Q35" s="22" t="str">
        <f aca="false">IF(P35="","",G35*P35)</f>
        <v/>
      </c>
      <c r="R35" s="21"/>
    </row>
    <row r="36" customFormat="false" ht="34.5" hidden="false" customHeight="true" outlineLevel="0" collapsed="false">
      <c r="A36" s="23" t="n">
        <v>5</v>
      </c>
      <c r="B36" s="23" t="s">
        <v>122</v>
      </c>
      <c r="C36" s="24" t="n">
        <v>46293</v>
      </c>
      <c r="D36" s="23" t="s">
        <v>99</v>
      </c>
      <c r="E36" s="23" t="s">
        <v>100</v>
      </c>
      <c r="F36" s="25" t="s">
        <v>101</v>
      </c>
      <c r="G36" s="23" t="n">
        <v>85</v>
      </c>
      <c r="H36" s="26"/>
      <c r="I36" s="27"/>
      <c r="J36" s="23"/>
      <c r="K36" s="23"/>
      <c r="L36" s="23" t="n">
        <v>7</v>
      </c>
      <c r="M36" s="28" t="n">
        <f aca="false">G36*L36</f>
        <v>595</v>
      </c>
      <c r="N36" s="25" t="s">
        <v>156</v>
      </c>
      <c r="O36" s="13"/>
      <c r="P36" s="13"/>
      <c r="Q36" s="14" t="str">
        <f aca="false">IF(P36="","",G36*P36)</f>
        <v/>
      </c>
      <c r="R36" s="13"/>
    </row>
    <row r="37" customFormat="false" ht="23.25" hidden="false" customHeight="true" outlineLevel="0" collapsed="false">
      <c r="A37" s="29" t="n">
        <v>5</v>
      </c>
      <c r="B37" s="29" t="s">
        <v>122</v>
      </c>
      <c r="C37" s="30" t="n">
        <v>46294</v>
      </c>
      <c r="D37" s="29" t="s">
        <v>103</v>
      </c>
      <c r="E37" s="29" t="s">
        <v>104</v>
      </c>
      <c r="F37" s="31" t="s">
        <v>105</v>
      </c>
      <c r="G37" s="29" t="n">
        <v>70</v>
      </c>
      <c r="H37" s="32"/>
      <c r="I37" s="33" t="n">
        <v>3000</v>
      </c>
      <c r="J37" s="29"/>
      <c r="K37" s="29"/>
      <c r="L37" s="29" t="n">
        <v>5</v>
      </c>
      <c r="M37" s="34" t="n">
        <f aca="false">G37*L37</f>
        <v>350</v>
      </c>
      <c r="N37" s="31" t="s">
        <v>157</v>
      </c>
      <c r="O37" s="13"/>
      <c r="P37" s="13"/>
      <c r="Q37" s="14" t="str">
        <f aca="false">IF(P37="","",G37*P37)</f>
        <v/>
      </c>
      <c r="R37" s="13"/>
    </row>
    <row r="38" customFormat="false" ht="23.25" hidden="false" customHeight="true" outlineLevel="0" collapsed="false">
      <c r="A38" s="35" t="n">
        <v>5</v>
      </c>
      <c r="B38" s="35" t="s">
        <v>122</v>
      </c>
      <c r="C38" s="36" t="n">
        <v>46294</v>
      </c>
      <c r="D38" s="35" t="s">
        <v>107</v>
      </c>
      <c r="E38" s="35" t="s">
        <v>108</v>
      </c>
      <c r="F38" s="37" t="s">
        <v>135</v>
      </c>
      <c r="G38" s="35" t="n">
        <v>52</v>
      </c>
      <c r="H38" s="38"/>
      <c r="I38" s="39"/>
      <c r="J38" s="35"/>
      <c r="K38" s="35"/>
      <c r="L38" s="35" t="n">
        <v>3</v>
      </c>
      <c r="M38" s="40" t="n">
        <f aca="false">G38*L38</f>
        <v>156</v>
      </c>
      <c r="N38" s="37" t="s">
        <v>136</v>
      </c>
      <c r="O38" s="13"/>
      <c r="P38" s="13"/>
      <c r="Q38" s="14" t="str">
        <f aca="false">IF(P38="","",G38*P38)</f>
        <v/>
      </c>
      <c r="R38" s="13"/>
    </row>
    <row r="39" customFormat="false" ht="34.5" hidden="false" customHeight="true" outlineLevel="0" collapsed="false">
      <c r="A39" s="7" t="n">
        <v>5</v>
      </c>
      <c r="B39" s="7" t="s">
        <v>122</v>
      </c>
      <c r="C39" s="8" t="n">
        <v>46295</v>
      </c>
      <c r="D39" s="7" t="s">
        <v>111</v>
      </c>
      <c r="E39" s="7" t="s">
        <v>90</v>
      </c>
      <c r="F39" s="9" t="s">
        <v>158</v>
      </c>
      <c r="G39" s="7" t="n">
        <v>63</v>
      </c>
      <c r="H39" s="10" t="n">
        <v>11</v>
      </c>
      <c r="I39" s="11"/>
      <c r="J39" s="7" t="s">
        <v>159</v>
      </c>
      <c r="K39" s="7" t="str">
        <f aca="false">"Effort max régulier — le test donne l'allure seuil"</f>
        <v>Effort max régulier — le test donne l'allure seuil</v>
      </c>
      <c r="L39" s="7" t="n">
        <v>9</v>
      </c>
      <c r="M39" s="12" t="n">
        <f aca="false">G39*L39</f>
        <v>567</v>
      </c>
      <c r="N39" s="9" t="s">
        <v>160</v>
      </c>
      <c r="O39" s="13"/>
      <c r="P39" s="13"/>
      <c r="Q39" s="14" t="str">
        <f aca="false">IF(P39="","",G39*P39)</f>
        <v/>
      </c>
      <c r="R39" s="13"/>
    </row>
    <row r="40" customFormat="false" ht="23.25" hidden="false" customHeight="true" outlineLevel="0" collapsed="false">
      <c r="A40" s="23" t="n">
        <v>5</v>
      </c>
      <c r="B40" s="23" t="s">
        <v>122</v>
      </c>
      <c r="C40" s="24" t="n">
        <v>46296</v>
      </c>
      <c r="D40" s="23" t="s">
        <v>114</v>
      </c>
      <c r="E40" s="23" t="s">
        <v>100</v>
      </c>
      <c r="F40" s="25" t="s">
        <v>152</v>
      </c>
      <c r="G40" s="23" t="n">
        <v>75</v>
      </c>
      <c r="H40" s="26" t="n">
        <v>2</v>
      </c>
      <c r="I40" s="27"/>
      <c r="J40" s="23"/>
      <c r="K40" s="23"/>
      <c r="L40" s="23" t="n">
        <v>6</v>
      </c>
      <c r="M40" s="28" t="n">
        <f aca="false">G40*L40</f>
        <v>450</v>
      </c>
      <c r="N40" s="25" t="s">
        <v>153</v>
      </c>
      <c r="O40" s="13"/>
      <c r="P40" s="13"/>
      <c r="Q40" s="14" t="str">
        <f aca="false">IF(P40="","",G40*P40)</f>
        <v/>
      </c>
      <c r="R40" s="13"/>
    </row>
    <row r="41" customFormat="false" ht="15" hidden="false" customHeight="true" outlineLevel="0" collapsed="false">
      <c r="A41" s="29" t="n">
        <v>5</v>
      </c>
      <c r="B41" s="29" t="s">
        <v>122</v>
      </c>
      <c r="C41" s="30" t="n">
        <v>46297</v>
      </c>
      <c r="D41" s="29" t="s">
        <v>116</v>
      </c>
      <c r="E41" s="29" t="s">
        <v>104</v>
      </c>
      <c r="F41" s="31" t="s">
        <v>132</v>
      </c>
      <c r="G41" s="29" t="n">
        <v>50</v>
      </c>
      <c r="H41" s="32"/>
      <c r="I41" s="33" t="n">
        <v>2400</v>
      </c>
      <c r="J41" s="29"/>
      <c r="K41" s="29"/>
      <c r="L41" s="29" t="n">
        <v>4</v>
      </c>
      <c r="M41" s="34" t="n">
        <f aca="false">G41*L41</f>
        <v>200</v>
      </c>
      <c r="N41" s="31" t="s">
        <v>161</v>
      </c>
      <c r="O41" s="13"/>
      <c r="P41" s="13"/>
      <c r="Q41" s="14" t="str">
        <f aca="false">IF(P41="","",G41*P41)</f>
        <v/>
      </c>
      <c r="R41" s="13"/>
    </row>
    <row r="42" customFormat="false" ht="23.25" hidden="false" customHeight="true" outlineLevel="0" collapsed="false">
      <c r="A42" s="7" t="n">
        <v>5</v>
      </c>
      <c r="B42" s="7" t="s">
        <v>122</v>
      </c>
      <c r="C42" s="8" t="n">
        <v>46298</v>
      </c>
      <c r="D42" s="7" t="s">
        <v>89</v>
      </c>
      <c r="E42" s="7" t="s">
        <v>90</v>
      </c>
      <c r="F42" s="9" t="s">
        <v>137</v>
      </c>
      <c r="G42" s="7" t="n">
        <v>85</v>
      </c>
      <c r="H42" s="10" t="n">
        <v>15</v>
      </c>
      <c r="I42" s="11"/>
      <c r="J42" s="7" t="s">
        <v>120</v>
      </c>
      <c r="K42" s="7" t="str">
        <f aca="false">"EF "&amp;TEXT((Allures!$C$13+75)/86400,"mm:ss")</f>
        <v>EF 06:27</v>
      </c>
      <c r="L42" s="7" t="n">
        <v>3</v>
      </c>
      <c r="M42" s="12" t="n">
        <f aca="false">G42*L42</f>
        <v>255</v>
      </c>
      <c r="N42" s="9" t="s">
        <v>162</v>
      </c>
      <c r="O42" s="13"/>
      <c r="P42" s="13"/>
      <c r="Q42" s="14" t="str">
        <f aca="false">IF(P42="","",G42*P42)</f>
        <v/>
      </c>
      <c r="R42" s="13"/>
    </row>
    <row r="43" customFormat="false" ht="15" hidden="false" customHeight="true" outlineLevel="0" collapsed="false">
      <c r="A43" s="15" t="n">
        <v>5</v>
      </c>
      <c r="B43" s="15" t="s">
        <v>122</v>
      </c>
      <c r="C43" s="16" t="n">
        <v>46299</v>
      </c>
      <c r="D43" s="15" t="s">
        <v>94</v>
      </c>
      <c r="E43" s="15" t="s">
        <v>95</v>
      </c>
      <c r="F43" s="17" t="s">
        <v>96</v>
      </c>
      <c r="G43" s="15" t="n">
        <v>0</v>
      </c>
      <c r="H43" s="18"/>
      <c r="I43" s="19"/>
      <c r="J43" s="15"/>
      <c r="K43" s="15"/>
      <c r="L43" s="15" t="n">
        <v>0</v>
      </c>
      <c r="M43" s="20" t="n">
        <f aca="false">G43*L43</f>
        <v>0</v>
      </c>
      <c r="N43" s="17" t="s">
        <v>139</v>
      </c>
      <c r="O43" s="21"/>
      <c r="P43" s="21"/>
      <c r="Q43" s="22" t="str">
        <f aca="false">IF(P43="","",G43*P43)</f>
        <v/>
      </c>
      <c r="R43" s="21"/>
    </row>
    <row r="44" customFormat="false" ht="34.5" hidden="false" customHeight="true" outlineLevel="0" collapsed="false">
      <c r="A44" s="23" t="n">
        <v>6</v>
      </c>
      <c r="B44" s="23" t="s">
        <v>122</v>
      </c>
      <c r="C44" s="24" t="n">
        <v>46300</v>
      </c>
      <c r="D44" s="23" t="s">
        <v>99</v>
      </c>
      <c r="E44" s="23" t="s">
        <v>100</v>
      </c>
      <c r="F44" s="25" t="s">
        <v>101</v>
      </c>
      <c r="G44" s="23" t="n">
        <v>85</v>
      </c>
      <c r="H44" s="26"/>
      <c r="I44" s="27"/>
      <c r="J44" s="23"/>
      <c r="K44" s="23"/>
      <c r="L44" s="23" t="n">
        <v>7</v>
      </c>
      <c r="M44" s="28" t="n">
        <f aca="false">G44*L44</f>
        <v>595</v>
      </c>
      <c r="N44" s="25" t="s">
        <v>156</v>
      </c>
      <c r="O44" s="13"/>
      <c r="P44" s="13"/>
      <c r="Q44" s="14" t="str">
        <f aca="false">IF(P44="","",G44*P44)</f>
        <v/>
      </c>
      <c r="R44" s="13"/>
    </row>
    <row r="45" customFormat="false" ht="23.25" hidden="false" customHeight="true" outlineLevel="0" collapsed="false">
      <c r="A45" s="29" t="n">
        <v>6</v>
      </c>
      <c r="B45" s="29" t="s">
        <v>122</v>
      </c>
      <c r="C45" s="30" t="n">
        <v>46301</v>
      </c>
      <c r="D45" s="29" t="s">
        <v>141</v>
      </c>
      <c r="E45" s="29" t="s">
        <v>104</v>
      </c>
      <c r="F45" s="31" t="s">
        <v>105</v>
      </c>
      <c r="G45" s="29" t="n">
        <v>70</v>
      </c>
      <c r="H45" s="32"/>
      <c r="I45" s="33" t="n">
        <v>3200</v>
      </c>
      <c r="J45" s="29"/>
      <c r="K45" s="29"/>
      <c r="L45" s="29" t="n">
        <v>5</v>
      </c>
      <c r="M45" s="34" t="n">
        <f aca="false">G45*L45</f>
        <v>350</v>
      </c>
      <c r="N45" s="31" t="s">
        <v>163</v>
      </c>
      <c r="O45" s="13"/>
      <c r="P45" s="13"/>
      <c r="Q45" s="14" t="str">
        <f aca="false">IF(P45="","",G45*P45)</f>
        <v/>
      </c>
      <c r="R45" s="13"/>
    </row>
    <row r="46" customFormat="false" ht="23.25" hidden="false" customHeight="true" outlineLevel="0" collapsed="false">
      <c r="A46" s="7" t="n">
        <v>6</v>
      </c>
      <c r="B46" s="7" t="s">
        <v>122</v>
      </c>
      <c r="C46" s="8" t="n">
        <v>46302</v>
      </c>
      <c r="D46" s="7" t="s">
        <v>111</v>
      </c>
      <c r="E46" s="7" t="s">
        <v>90</v>
      </c>
      <c r="F46" s="9" t="s">
        <v>127</v>
      </c>
      <c r="G46" s="7" t="n">
        <v>68</v>
      </c>
      <c r="H46" s="10" t="n">
        <v>12</v>
      </c>
      <c r="I46" s="11"/>
      <c r="J46" s="7" t="s">
        <v>120</v>
      </c>
      <c r="K46" s="7" t="str">
        <f aca="false">"EF "&amp;TEXT((Allures!$C$13+75)/86400,"mm:ss")</f>
        <v>EF 06:27</v>
      </c>
      <c r="L46" s="7" t="n">
        <v>3</v>
      </c>
      <c r="M46" s="12" t="n">
        <f aca="false">G46*L46</f>
        <v>204</v>
      </c>
      <c r="N46" s="9" t="s">
        <v>164</v>
      </c>
      <c r="O46" s="13"/>
      <c r="P46" s="13"/>
      <c r="Q46" s="14" t="str">
        <f aca="false">IF(P46="","",G46*P46)</f>
        <v/>
      </c>
      <c r="R46" s="13"/>
    </row>
    <row r="47" customFormat="false" ht="15" hidden="false" customHeight="true" outlineLevel="0" collapsed="false">
      <c r="A47" s="23" t="n">
        <v>6</v>
      </c>
      <c r="B47" s="23" t="s">
        <v>122</v>
      </c>
      <c r="C47" s="24" t="n">
        <v>46303</v>
      </c>
      <c r="D47" s="23" t="s">
        <v>114</v>
      </c>
      <c r="E47" s="23" t="s">
        <v>100</v>
      </c>
      <c r="F47" s="25" t="s">
        <v>144</v>
      </c>
      <c r="G47" s="23" t="n">
        <v>45</v>
      </c>
      <c r="H47" s="26" t="n">
        <v>2</v>
      </c>
      <c r="I47" s="27"/>
      <c r="J47" s="23"/>
      <c r="K47" s="23"/>
      <c r="L47" s="23" t="n">
        <v>5</v>
      </c>
      <c r="M47" s="28" t="n">
        <f aca="false">G47*L47</f>
        <v>225</v>
      </c>
      <c r="N47" s="25" t="s">
        <v>145</v>
      </c>
      <c r="O47" s="13"/>
      <c r="P47" s="13"/>
      <c r="Q47" s="14" t="str">
        <f aca="false">IF(P47="","",G47*P47)</f>
        <v/>
      </c>
      <c r="R47" s="13"/>
    </row>
    <row r="48" customFormat="false" ht="15" hidden="false" customHeight="true" outlineLevel="0" collapsed="false">
      <c r="A48" s="29" t="n">
        <v>6</v>
      </c>
      <c r="B48" s="29" t="s">
        <v>122</v>
      </c>
      <c r="C48" s="30" t="n">
        <v>46304</v>
      </c>
      <c r="D48" s="29" t="s">
        <v>116</v>
      </c>
      <c r="E48" s="29" t="s">
        <v>104</v>
      </c>
      <c r="F48" s="31" t="s">
        <v>132</v>
      </c>
      <c r="G48" s="29" t="n">
        <v>55</v>
      </c>
      <c r="H48" s="32"/>
      <c r="I48" s="33" t="n">
        <v>2600</v>
      </c>
      <c r="J48" s="29"/>
      <c r="K48" s="29"/>
      <c r="L48" s="29" t="n">
        <v>4</v>
      </c>
      <c r="M48" s="34" t="n">
        <f aca="false">G48*L48</f>
        <v>220</v>
      </c>
      <c r="N48" s="31" t="s">
        <v>165</v>
      </c>
      <c r="O48" s="13"/>
      <c r="P48" s="13"/>
      <c r="Q48" s="14" t="str">
        <f aca="false">IF(P48="","",G48*P48)</f>
        <v/>
      </c>
      <c r="R48" s="13"/>
    </row>
    <row r="49" customFormat="false" ht="15" hidden="false" customHeight="true" outlineLevel="0" collapsed="false">
      <c r="A49" s="15" t="n">
        <v>6</v>
      </c>
      <c r="B49" s="15" t="s">
        <v>122</v>
      </c>
      <c r="C49" s="16" t="n">
        <v>46305</v>
      </c>
      <c r="D49" s="15" t="s">
        <v>89</v>
      </c>
      <c r="E49" s="15" t="s">
        <v>95</v>
      </c>
      <c r="F49" s="17" t="s">
        <v>166</v>
      </c>
      <c r="G49" s="15" t="n">
        <v>0</v>
      </c>
      <c r="H49" s="18"/>
      <c r="I49" s="19"/>
      <c r="J49" s="15"/>
      <c r="K49" s="15"/>
      <c r="L49" s="15" t="n">
        <v>0</v>
      </c>
      <c r="M49" s="20" t="n">
        <f aca="false">G49*L49</f>
        <v>0</v>
      </c>
      <c r="N49" s="17" t="s">
        <v>167</v>
      </c>
      <c r="O49" s="21"/>
      <c r="P49" s="21"/>
      <c r="Q49" s="22" t="str">
        <f aca="false">IF(P49="","",G49*P49)</f>
        <v/>
      </c>
      <c r="R49" s="21"/>
    </row>
    <row r="50" customFormat="false" ht="34.5" hidden="false" customHeight="true" outlineLevel="0" collapsed="false">
      <c r="A50" s="7" t="n">
        <v>6</v>
      </c>
      <c r="B50" s="7" t="s">
        <v>122</v>
      </c>
      <c r="C50" s="8" t="n">
        <v>46306</v>
      </c>
      <c r="D50" s="7" t="s">
        <v>94</v>
      </c>
      <c r="E50" s="7" t="s">
        <v>90</v>
      </c>
      <c r="F50" s="9" t="s">
        <v>168</v>
      </c>
      <c r="G50" s="7" t="n">
        <v>270</v>
      </c>
      <c r="H50" s="10" t="n">
        <v>35</v>
      </c>
      <c r="I50" s="11"/>
      <c r="J50" s="7" t="s">
        <v>92</v>
      </c>
      <c r="K50" s="7" t="str">
        <f aca="false">"À l'effort, pas à l'allure — marche en côte assumée"</f>
        <v>À l'effort, pas à l'allure — marche en côte assumée</v>
      </c>
      <c r="L50" s="7" t="n">
        <v>7</v>
      </c>
      <c r="M50" s="12" t="n">
        <f aca="false">G50*L50</f>
        <v>1890</v>
      </c>
      <c r="N50" s="9" t="s">
        <v>169</v>
      </c>
      <c r="O50" s="13"/>
      <c r="P50" s="13"/>
      <c r="Q50" s="14" t="str">
        <f aca="false">IF(P50="","",G50*P50)</f>
        <v/>
      </c>
      <c r="R50" s="13"/>
    </row>
    <row r="51" customFormat="false" ht="34.5" hidden="false" customHeight="true" outlineLevel="0" collapsed="false">
      <c r="A51" s="23" t="n">
        <v>7</v>
      </c>
      <c r="B51" s="23" t="s">
        <v>170</v>
      </c>
      <c r="C51" s="24" t="n">
        <v>46307</v>
      </c>
      <c r="D51" s="23" t="s">
        <v>99</v>
      </c>
      <c r="E51" s="23" t="s">
        <v>100</v>
      </c>
      <c r="F51" s="25" t="s">
        <v>101</v>
      </c>
      <c r="G51" s="23" t="n">
        <v>90</v>
      </c>
      <c r="H51" s="26"/>
      <c r="I51" s="27"/>
      <c r="J51" s="23"/>
      <c r="K51" s="23"/>
      <c r="L51" s="23" t="n">
        <v>7</v>
      </c>
      <c r="M51" s="28" t="n">
        <f aca="false">G51*L51</f>
        <v>630</v>
      </c>
      <c r="N51" s="25" t="s">
        <v>171</v>
      </c>
      <c r="O51" s="13"/>
      <c r="P51" s="13"/>
      <c r="Q51" s="14" t="str">
        <f aca="false">IF(P51="","",G51*P51)</f>
        <v/>
      </c>
      <c r="R51" s="13"/>
    </row>
    <row r="52" customFormat="false" ht="23.25" hidden="false" customHeight="true" outlineLevel="0" collapsed="false">
      <c r="A52" s="29" t="n">
        <v>7</v>
      </c>
      <c r="B52" s="29" t="s">
        <v>170</v>
      </c>
      <c r="C52" s="30" t="n">
        <v>46308</v>
      </c>
      <c r="D52" s="29" t="s">
        <v>103</v>
      </c>
      <c r="E52" s="29" t="s">
        <v>104</v>
      </c>
      <c r="F52" s="31" t="s">
        <v>105</v>
      </c>
      <c r="G52" s="29" t="n">
        <v>70</v>
      </c>
      <c r="H52" s="32"/>
      <c r="I52" s="33" t="n">
        <v>3000</v>
      </c>
      <c r="J52" s="29"/>
      <c r="K52" s="29"/>
      <c r="L52" s="29" t="n">
        <v>5</v>
      </c>
      <c r="M52" s="34" t="n">
        <f aca="false">G52*L52</f>
        <v>350</v>
      </c>
      <c r="N52" s="31" t="s">
        <v>172</v>
      </c>
      <c r="O52" s="13"/>
      <c r="P52" s="13"/>
      <c r="Q52" s="14" t="str">
        <f aca="false">IF(P52="","",G52*P52)</f>
        <v/>
      </c>
      <c r="R52" s="13"/>
    </row>
    <row r="53" customFormat="false" ht="23.25" hidden="false" customHeight="true" outlineLevel="0" collapsed="false">
      <c r="A53" s="35" t="n">
        <v>7</v>
      </c>
      <c r="B53" s="35" t="s">
        <v>170</v>
      </c>
      <c r="C53" s="36" t="n">
        <v>46308</v>
      </c>
      <c r="D53" s="35" t="s">
        <v>107</v>
      </c>
      <c r="E53" s="35" t="s">
        <v>108</v>
      </c>
      <c r="F53" s="37" t="s">
        <v>135</v>
      </c>
      <c r="G53" s="35" t="n">
        <v>45</v>
      </c>
      <c r="H53" s="38"/>
      <c r="I53" s="39"/>
      <c r="J53" s="35"/>
      <c r="K53" s="35"/>
      <c r="L53" s="35" t="n">
        <v>3</v>
      </c>
      <c r="M53" s="40" t="n">
        <f aca="false">G53*L53</f>
        <v>135</v>
      </c>
      <c r="N53" s="37" t="s">
        <v>136</v>
      </c>
      <c r="O53" s="13"/>
      <c r="P53" s="13"/>
      <c r="Q53" s="14" t="str">
        <f aca="false">IF(P53="","",G53*P53)</f>
        <v/>
      </c>
      <c r="R53" s="13"/>
    </row>
    <row r="54" customFormat="false" ht="23.25" hidden="false" customHeight="true" outlineLevel="0" collapsed="false">
      <c r="A54" s="7" t="n">
        <v>7</v>
      </c>
      <c r="B54" s="7" t="s">
        <v>170</v>
      </c>
      <c r="C54" s="8" t="n">
        <v>46309</v>
      </c>
      <c r="D54" s="7" t="s">
        <v>111</v>
      </c>
      <c r="E54" s="7" t="s">
        <v>90</v>
      </c>
      <c r="F54" s="9" t="s">
        <v>173</v>
      </c>
      <c r="G54" s="7" t="n">
        <v>68</v>
      </c>
      <c r="H54" s="10" t="n">
        <v>12</v>
      </c>
      <c r="I54" s="11"/>
      <c r="J54" s="7" t="s">
        <v>174</v>
      </c>
      <c r="K54" s="7" t="str">
        <f aca="false">"EF "&amp;TEXT((Allures!$C$14+75)/86400,"mm:ss")&amp;" · "&amp;"Seuil "&amp;TEXT((Allures!$C$14+10)/86400,"mm:ss")</f>
        <v>EF 06:00 · Seuil 04:55</v>
      </c>
      <c r="L54" s="7" t="n">
        <v>7</v>
      </c>
      <c r="M54" s="12" t="n">
        <f aca="false">G54*L54</f>
        <v>476</v>
      </c>
      <c r="N54" s="9" t="s">
        <v>175</v>
      </c>
      <c r="O54" s="13"/>
      <c r="P54" s="13"/>
      <c r="Q54" s="14" t="str">
        <f aca="false">IF(P54="","",G54*P54)</f>
        <v/>
      </c>
      <c r="R54" s="13"/>
    </row>
    <row r="55" customFormat="false" ht="23.25" hidden="false" customHeight="true" outlineLevel="0" collapsed="false">
      <c r="A55" s="23" t="n">
        <v>7</v>
      </c>
      <c r="B55" s="23" t="s">
        <v>170</v>
      </c>
      <c r="C55" s="24" t="n">
        <v>46310</v>
      </c>
      <c r="D55" s="23" t="s">
        <v>114</v>
      </c>
      <c r="E55" s="23" t="s">
        <v>100</v>
      </c>
      <c r="F55" s="25" t="s">
        <v>152</v>
      </c>
      <c r="G55" s="23" t="n">
        <v>75</v>
      </c>
      <c r="H55" s="26" t="n">
        <v>2.4</v>
      </c>
      <c r="I55" s="27"/>
      <c r="J55" s="23"/>
      <c r="K55" s="23"/>
      <c r="L55" s="23" t="n">
        <v>7</v>
      </c>
      <c r="M55" s="28" t="n">
        <f aca="false">G55*L55</f>
        <v>525</v>
      </c>
      <c r="N55" s="25" t="s">
        <v>176</v>
      </c>
      <c r="O55" s="13"/>
      <c r="P55" s="13"/>
      <c r="Q55" s="14" t="str">
        <f aca="false">IF(P55="","",G55*P55)</f>
        <v/>
      </c>
      <c r="R55" s="13"/>
    </row>
    <row r="56" customFormat="false" ht="15" hidden="false" customHeight="true" outlineLevel="0" collapsed="false">
      <c r="A56" s="29" t="n">
        <v>7</v>
      </c>
      <c r="B56" s="29" t="s">
        <v>170</v>
      </c>
      <c r="C56" s="30" t="n">
        <v>46311</v>
      </c>
      <c r="D56" s="29" t="s">
        <v>116</v>
      </c>
      <c r="E56" s="29" t="s">
        <v>104</v>
      </c>
      <c r="F56" s="31" t="s">
        <v>132</v>
      </c>
      <c r="G56" s="29" t="n">
        <v>50</v>
      </c>
      <c r="H56" s="32"/>
      <c r="I56" s="33" t="n">
        <v>2400</v>
      </c>
      <c r="J56" s="29"/>
      <c r="K56" s="29"/>
      <c r="L56" s="29" t="n">
        <v>4</v>
      </c>
      <c r="M56" s="34" t="n">
        <f aca="false">G56*L56</f>
        <v>200</v>
      </c>
      <c r="N56" s="31" t="s">
        <v>177</v>
      </c>
      <c r="O56" s="13"/>
      <c r="P56" s="13"/>
      <c r="Q56" s="14" t="str">
        <f aca="false">IF(P56="","",G56*P56)</f>
        <v/>
      </c>
      <c r="R56" s="13"/>
    </row>
    <row r="57" customFormat="false" ht="15" hidden="false" customHeight="true" outlineLevel="0" collapsed="false">
      <c r="A57" s="7" t="n">
        <v>7</v>
      </c>
      <c r="B57" s="7" t="s">
        <v>170</v>
      </c>
      <c r="C57" s="8" t="n">
        <v>46311</v>
      </c>
      <c r="D57" s="7" t="s">
        <v>116</v>
      </c>
      <c r="E57" s="7" t="s">
        <v>90</v>
      </c>
      <c r="F57" s="9" t="s">
        <v>178</v>
      </c>
      <c r="G57" s="7" t="n">
        <v>58</v>
      </c>
      <c r="H57" s="10" t="n">
        <v>10</v>
      </c>
      <c r="I57" s="11"/>
      <c r="J57" s="7" t="s">
        <v>179</v>
      </c>
      <c r="K57" s="7" t="str">
        <f aca="false">"Récup "&amp;TEXT((Allures!$C$14+95)/86400,"mm:ss")</f>
        <v>Récup 06:20</v>
      </c>
      <c r="L57" s="7" t="n">
        <v>3</v>
      </c>
      <c r="M57" s="12" t="n">
        <f aca="false">G57*L57</f>
        <v>174</v>
      </c>
      <c r="N57" s="9" t="s">
        <v>180</v>
      </c>
      <c r="O57" s="13"/>
      <c r="P57" s="13"/>
      <c r="Q57" s="14" t="str">
        <f aca="false">IF(P57="","",G57*P57)</f>
        <v/>
      </c>
      <c r="R57" s="13"/>
    </row>
    <row r="58" customFormat="false" ht="15" hidden="false" customHeight="true" outlineLevel="0" collapsed="false">
      <c r="A58" s="7" t="n">
        <v>7</v>
      </c>
      <c r="B58" s="7" t="s">
        <v>170</v>
      </c>
      <c r="C58" s="8" t="n">
        <v>46312</v>
      </c>
      <c r="D58" s="7" t="s">
        <v>89</v>
      </c>
      <c r="E58" s="7" t="s">
        <v>90</v>
      </c>
      <c r="F58" s="9" t="s">
        <v>137</v>
      </c>
      <c r="G58" s="7" t="n">
        <v>97</v>
      </c>
      <c r="H58" s="10" t="n">
        <v>17</v>
      </c>
      <c r="I58" s="11"/>
      <c r="J58" s="7" t="s">
        <v>181</v>
      </c>
      <c r="K58" s="7" t="str">
        <f aca="false">"EF "&amp;TEXT((Allures!$C$14+75)/86400,"mm:ss")&amp;" · "&amp;"End. active "&amp;TEXT((Allures!$C$14+55)/86400,"mm:ss")</f>
        <v>EF 06:00 · End. active 05:40</v>
      </c>
      <c r="L58" s="7" t="n">
        <v>5</v>
      </c>
      <c r="M58" s="12" t="n">
        <f aca="false">G58*L58</f>
        <v>485</v>
      </c>
      <c r="N58" s="9" t="s">
        <v>182</v>
      </c>
      <c r="O58" s="13"/>
      <c r="P58" s="13"/>
      <c r="Q58" s="14" t="str">
        <f aca="false">IF(P58="","",G58*P58)</f>
        <v/>
      </c>
      <c r="R58" s="13"/>
    </row>
    <row r="59" customFormat="false" ht="15" hidden="false" customHeight="true" outlineLevel="0" collapsed="false">
      <c r="A59" s="15" t="n">
        <v>7</v>
      </c>
      <c r="B59" s="15" t="s">
        <v>170</v>
      </c>
      <c r="C59" s="16" t="n">
        <v>46313</v>
      </c>
      <c r="D59" s="15" t="s">
        <v>94</v>
      </c>
      <c r="E59" s="15" t="s">
        <v>95</v>
      </c>
      <c r="F59" s="17" t="s">
        <v>96</v>
      </c>
      <c r="G59" s="15" t="n">
        <v>0</v>
      </c>
      <c r="H59" s="18"/>
      <c r="I59" s="19"/>
      <c r="J59" s="15"/>
      <c r="K59" s="15"/>
      <c r="L59" s="15" t="n">
        <v>0</v>
      </c>
      <c r="M59" s="20" t="n">
        <f aca="false">G59*L59</f>
        <v>0</v>
      </c>
      <c r="N59" s="17" t="s">
        <v>139</v>
      </c>
      <c r="O59" s="21"/>
      <c r="P59" s="21"/>
      <c r="Q59" s="22" t="str">
        <f aca="false">IF(P59="","",G59*P59)</f>
        <v/>
      </c>
      <c r="R59" s="21"/>
    </row>
    <row r="60" customFormat="false" ht="34.5" hidden="false" customHeight="true" outlineLevel="0" collapsed="false">
      <c r="A60" s="23" t="n">
        <v>8</v>
      </c>
      <c r="B60" s="23" t="s">
        <v>170</v>
      </c>
      <c r="C60" s="24" t="n">
        <v>46314</v>
      </c>
      <c r="D60" s="23" t="s">
        <v>99</v>
      </c>
      <c r="E60" s="23" t="s">
        <v>100</v>
      </c>
      <c r="F60" s="25" t="s">
        <v>101</v>
      </c>
      <c r="G60" s="23" t="n">
        <v>90</v>
      </c>
      <c r="H60" s="26"/>
      <c r="I60" s="27"/>
      <c r="J60" s="23"/>
      <c r="K60" s="23"/>
      <c r="L60" s="23" t="n">
        <v>7</v>
      </c>
      <c r="M60" s="28" t="n">
        <f aca="false">G60*L60</f>
        <v>630</v>
      </c>
      <c r="N60" s="25" t="s">
        <v>171</v>
      </c>
      <c r="O60" s="13"/>
      <c r="P60" s="13"/>
      <c r="Q60" s="14" t="str">
        <f aca="false">IF(P60="","",G60*P60)</f>
        <v/>
      </c>
      <c r="R60" s="13"/>
    </row>
    <row r="61" customFormat="false" ht="23.25" hidden="false" customHeight="true" outlineLevel="0" collapsed="false">
      <c r="A61" s="29" t="n">
        <v>8</v>
      </c>
      <c r="B61" s="29" t="s">
        <v>170</v>
      </c>
      <c r="C61" s="30" t="n">
        <v>46315</v>
      </c>
      <c r="D61" s="29" t="s">
        <v>103</v>
      </c>
      <c r="E61" s="29" t="s">
        <v>104</v>
      </c>
      <c r="F61" s="31" t="s">
        <v>105</v>
      </c>
      <c r="G61" s="29" t="n">
        <v>80</v>
      </c>
      <c r="H61" s="32"/>
      <c r="I61" s="33" t="n">
        <v>3600</v>
      </c>
      <c r="J61" s="29"/>
      <c r="K61" s="29"/>
      <c r="L61" s="29" t="n">
        <v>5</v>
      </c>
      <c r="M61" s="34" t="n">
        <f aca="false">G61*L61</f>
        <v>400</v>
      </c>
      <c r="N61" s="31" t="s">
        <v>183</v>
      </c>
      <c r="O61" s="13"/>
      <c r="P61" s="13"/>
      <c r="Q61" s="14" t="str">
        <f aca="false">IF(P61="","",G61*P61)</f>
        <v/>
      </c>
      <c r="R61" s="13"/>
    </row>
    <row r="62" customFormat="false" ht="23.25" hidden="false" customHeight="true" outlineLevel="0" collapsed="false">
      <c r="A62" s="35" t="n">
        <v>8</v>
      </c>
      <c r="B62" s="35" t="s">
        <v>170</v>
      </c>
      <c r="C62" s="36" t="n">
        <v>46315</v>
      </c>
      <c r="D62" s="35" t="s">
        <v>107</v>
      </c>
      <c r="E62" s="35" t="s">
        <v>108</v>
      </c>
      <c r="F62" s="37" t="s">
        <v>135</v>
      </c>
      <c r="G62" s="35" t="n">
        <v>45</v>
      </c>
      <c r="H62" s="38"/>
      <c r="I62" s="39"/>
      <c r="J62" s="35"/>
      <c r="K62" s="35"/>
      <c r="L62" s="35" t="n">
        <v>3</v>
      </c>
      <c r="M62" s="40" t="n">
        <f aca="false">G62*L62</f>
        <v>135</v>
      </c>
      <c r="N62" s="37" t="s">
        <v>136</v>
      </c>
      <c r="O62" s="13"/>
      <c r="P62" s="13"/>
      <c r="Q62" s="14" t="str">
        <f aca="false">IF(P62="","",G62*P62)</f>
        <v/>
      </c>
      <c r="R62" s="13"/>
    </row>
    <row r="63" customFormat="false" ht="15" hidden="false" customHeight="true" outlineLevel="0" collapsed="false">
      <c r="A63" s="7" t="n">
        <v>8</v>
      </c>
      <c r="B63" s="7" t="s">
        <v>170</v>
      </c>
      <c r="C63" s="8" t="n">
        <v>46316</v>
      </c>
      <c r="D63" s="7" t="s">
        <v>111</v>
      </c>
      <c r="E63" s="7" t="s">
        <v>90</v>
      </c>
      <c r="F63" s="9" t="s">
        <v>184</v>
      </c>
      <c r="G63" s="7" t="n">
        <v>73</v>
      </c>
      <c r="H63" s="10" t="n">
        <v>13</v>
      </c>
      <c r="I63" s="11"/>
      <c r="J63" s="7" t="s">
        <v>174</v>
      </c>
      <c r="K63" s="7" t="str">
        <f aca="false">"EF "&amp;TEXT((Allures!$C$14+75)/86400,"mm:ss")&amp;" · "&amp;"Seuil "&amp;TEXT((Allures!$C$14+10)/86400,"mm:ss")</f>
        <v>EF 06:00 · Seuil 04:55</v>
      </c>
      <c r="L63" s="7" t="n">
        <v>7</v>
      </c>
      <c r="M63" s="12" t="n">
        <f aca="false">G63*L63</f>
        <v>511</v>
      </c>
      <c r="N63" s="9" t="s">
        <v>185</v>
      </c>
      <c r="O63" s="13"/>
      <c r="P63" s="13"/>
      <c r="Q63" s="14" t="str">
        <f aca="false">IF(P63="","",G63*P63)</f>
        <v/>
      </c>
      <c r="R63" s="13"/>
    </row>
    <row r="64" customFormat="false" ht="23.25" hidden="false" customHeight="true" outlineLevel="0" collapsed="false">
      <c r="A64" s="23" t="n">
        <v>8</v>
      </c>
      <c r="B64" s="23" t="s">
        <v>170</v>
      </c>
      <c r="C64" s="24" t="n">
        <v>46317</v>
      </c>
      <c r="D64" s="23" t="s">
        <v>114</v>
      </c>
      <c r="E64" s="23" t="s">
        <v>100</v>
      </c>
      <c r="F64" s="25" t="s">
        <v>152</v>
      </c>
      <c r="G64" s="23" t="n">
        <v>75</v>
      </c>
      <c r="H64" s="26" t="n">
        <v>2.4</v>
      </c>
      <c r="I64" s="27"/>
      <c r="J64" s="23"/>
      <c r="K64" s="23"/>
      <c r="L64" s="23" t="n">
        <v>7</v>
      </c>
      <c r="M64" s="28" t="n">
        <f aca="false">G64*L64</f>
        <v>525</v>
      </c>
      <c r="N64" s="25" t="s">
        <v>176</v>
      </c>
      <c r="O64" s="13"/>
      <c r="P64" s="13"/>
      <c r="Q64" s="14" t="str">
        <f aca="false">IF(P64="","",G64*P64)</f>
        <v/>
      </c>
      <c r="R64" s="13"/>
    </row>
    <row r="65" customFormat="false" ht="15" hidden="false" customHeight="true" outlineLevel="0" collapsed="false">
      <c r="A65" s="29" t="n">
        <v>8</v>
      </c>
      <c r="B65" s="29" t="s">
        <v>170</v>
      </c>
      <c r="C65" s="30" t="n">
        <v>46318</v>
      </c>
      <c r="D65" s="29" t="s">
        <v>116</v>
      </c>
      <c r="E65" s="29" t="s">
        <v>104</v>
      </c>
      <c r="F65" s="31" t="s">
        <v>132</v>
      </c>
      <c r="G65" s="29" t="n">
        <v>60</v>
      </c>
      <c r="H65" s="32"/>
      <c r="I65" s="33" t="n">
        <v>2800</v>
      </c>
      <c r="J65" s="29"/>
      <c r="K65" s="29"/>
      <c r="L65" s="29" t="n">
        <v>4</v>
      </c>
      <c r="M65" s="34" t="n">
        <f aca="false">G65*L65</f>
        <v>240</v>
      </c>
      <c r="N65" s="31" t="s">
        <v>186</v>
      </c>
      <c r="O65" s="13"/>
      <c r="P65" s="13"/>
      <c r="Q65" s="14" t="str">
        <f aca="false">IF(P65="","",G65*P65)</f>
        <v/>
      </c>
      <c r="R65" s="13"/>
    </row>
    <row r="66" customFormat="false" ht="15" hidden="false" customHeight="true" outlineLevel="0" collapsed="false">
      <c r="A66" s="7" t="n">
        <v>8</v>
      </c>
      <c r="B66" s="7" t="s">
        <v>170</v>
      </c>
      <c r="C66" s="8" t="n">
        <v>46318</v>
      </c>
      <c r="D66" s="7" t="s">
        <v>116</v>
      </c>
      <c r="E66" s="7" t="s">
        <v>90</v>
      </c>
      <c r="F66" s="9" t="s">
        <v>178</v>
      </c>
      <c r="G66" s="7" t="n">
        <v>58</v>
      </c>
      <c r="H66" s="10" t="n">
        <v>10</v>
      </c>
      <c r="I66" s="11"/>
      <c r="J66" s="7" t="s">
        <v>179</v>
      </c>
      <c r="K66" s="7" t="str">
        <f aca="false">"Récup "&amp;TEXT((Allures!$C$14+95)/86400,"mm:ss")</f>
        <v>Récup 06:20</v>
      </c>
      <c r="L66" s="7" t="n">
        <v>3</v>
      </c>
      <c r="M66" s="12" t="n">
        <f aca="false">G66*L66</f>
        <v>174</v>
      </c>
      <c r="N66" s="9" t="s">
        <v>187</v>
      </c>
      <c r="O66" s="13"/>
      <c r="P66" s="13"/>
      <c r="Q66" s="14" t="str">
        <f aca="false">IF(P66="","",G66*P66)</f>
        <v/>
      </c>
      <c r="R66" s="13"/>
    </row>
    <row r="67" customFormat="false" ht="15" hidden="false" customHeight="true" outlineLevel="0" collapsed="false">
      <c r="A67" s="7" t="n">
        <v>8</v>
      </c>
      <c r="B67" s="7" t="s">
        <v>170</v>
      </c>
      <c r="C67" s="8" t="n">
        <v>46319</v>
      </c>
      <c r="D67" s="7" t="s">
        <v>89</v>
      </c>
      <c r="E67" s="7" t="s">
        <v>90</v>
      </c>
      <c r="F67" s="9" t="s">
        <v>137</v>
      </c>
      <c r="G67" s="7" t="n">
        <v>108</v>
      </c>
      <c r="H67" s="10" t="n">
        <v>19</v>
      </c>
      <c r="I67" s="11"/>
      <c r="J67" s="7" t="s">
        <v>181</v>
      </c>
      <c r="K67" s="7" t="str">
        <f aca="false">"EF "&amp;TEXT((Allures!$C$14+75)/86400,"mm:ss")&amp;" · "&amp;"End. active "&amp;TEXT((Allures!$C$14+55)/86400,"mm:ss")</f>
        <v>EF 06:00 · End. active 05:40</v>
      </c>
      <c r="L67" s="7" t="n">
        <v>6</v>
      </c>
      <c r="M67" s="12" t="n">
        <f aca="false">G67*L67</f>
        <v>648</v>
      </c>
      <c r="N67" s="9" t="s">
        <v>188</v>
      </c>
      <c r="O67" s="13"/>
      <c r="P67" s="13"/>
      <c r="Q67" s="14" t="str">
        <f aca="false">IF(P67="","",G67*P67)</f>
        <v/>
      </c>
      <c r="R67" s="13"/>
    </row>
    <row r="68" customFormat="false" ht="15" hidden="false" customHeight="true" outlineLevel="0" collapsed="false">
      <c r="A68" s="15" t="n">
        <v>8</v>
      </c>
      <c r="B68" s="15" t="s">
        <v>170</v>
      </c>
      <c r="C68" s="16" t="n">
        <v>46320</v>
      </c>
      <c r="D68" s="15" t="s">
        <v>94</v>
      </c>
      <c r="E68" s="15" t="s">
        <v>95</v>
      </c>
      <c r="F68" s="17" t="s">
        <v>96</v>
      </c>
      <c r="G68" s="15" t="n">
        <v>0</v>
      </c>
      <c r="H68" s="18"/>
      <c r="I68" s="19"/>
      <c r="J68" s="15"/>
      <c r="K68" s="15"/>
      <c r="L68" s="15" t="n">
        <v>0</v>
      </c>
      <c r="M68" s="20" t="n">
        <f aca="false">G68*L68</f>
        <v>0</v>
      </c>
      <c r="N68" s="17" t="s">
        <v>139</v>
      </c>
      <c r="O68" s="21"/>
      <c r="P68" s="21"/>
      <c r="Q68" s="22" t="str">
        <f aca="false">IF(P68="","",G68*P68)</f>
        <v/>
      </c>
      <c r="R68" s="21"/>
    </row>
    <row r="69" customFormat="false" ht="34.5" hidden="false" customHeight="true" outlineLevel="0" collapsed="false">
      <c r="A69" s="23" t="n">
        <v>9</v>
      </c>
      <c r="B69" s="23" t="s">
        <v>170</v>
      </c>
      <c r="C69" s="24" t="n">
        <v>46321</v>
      </c>
      <c r="D69" s="23" t="s">
        <v>99</v>
      </c>
      <c r="E69" s="23" t="s">
        <v>100</v>
      </c>
      <c r="F69" s="25" t="s">
        <v>101</v>
      </c>
      <c r="G69" s="23" t="n">
        <v>90</v>
      </c>
      <c r="H69" s="26"/>
      <c r="I69" s="27"/>
      <c r="J69" s="23"/>
      <c r="K69" s="23"/>
      <c r="L69" s="23" t="n">
        <v>7</v>
      </c>
      <c r="M69" s="28" t="n">
        <f aca="false">G69*L69</f>
        <v>630</v>
      </c>
      <c r="N69" s="25" t="s">
        <v>171</v>
      </c>
      <c r="O69" s="13"/>
      <c r="P69" s="13"/>
      <c r="Q69" s="14" t="str">
        <f aca="false">IF(P69="","",G69*P69)</f>
        <v/>
      </c>
      <c r="R69" s="13"/>
    </row>
    <row r="70" customFormat="false" ht="23.25" hidden="false" customHeight="true" outlineLevel="0" collapsed="false">
      <c r="A70" s="29" t="n">
        <v>9</v>
      </c>
      <c r="B70" s="29" t="s">
        <v>170</v>
      </c>
      <c r="C70" s="30" t="n">
        <v>46322</v>
      </c>
      <c r="D70" s="29" t="s">
        <v>141</v>
      </c>
      <c r="E70" s="29" t="s">
        <v>104</v>
      </c>
      <c r="F70" s="31" t="s">
        <v>105</v>
      </c>
      <c r="G70" s="29" t="n">
        <v>85</v>
      </c>
      <c r="H70" s="32"/>
      <c r="I70" s="33" t="n">
        <v>3800</v>
      </c>
      <c r="J70" s="29"/>
      <c r="K70" s="29"/>
      <c r="L70" s="29" t="n">
        <v>5</v>
      </c>
      <c r="M70" s="34" t="n">
        <f aca="false">G70*L70</f>
        <v>425</v>
      </c>
      <c r="N70" s="31" t="s">
        <v>189</v>
      </c>
      <c r="O70" s="13"/>
      <c r="P70" s="13"/>
      <c r="Q70" s="14" t="str">
        <f aca="false">IF(P70="","",G70*P70)</f>
        <v/>
      </c>
      <c r="R70" s="13"/>
    </row>
    <row r="71" customFormat="false" ht="23.25" hidden="false" customHeight="true" outlineLevel="0" collapsed="false">
      <c r="A71" s="7" t="n">
        <v>9</v>
      </c>
      <c r="B71" s="7" t="s">
        <v>170</v>
      </c>
      <c r="C71" s="8" t="n">
        <v>46323</v>
      </c>
      <c r="D71" s="7" t="s">
        <v>111</v>
      </c>
      <c r="E71" s="7" t="s">
        <v>90</v>
      </c>
      <c r="F71" s="9" t="s">
        <v>190</v>
      </c>
      <c r="G71" s="7" t="n">
        <v>73</v>
      </c>
      <c r="H71" s="10" t="n">
        <v>13</v>
      </c>
      <c r="I71" s="11"/>
      <c r="J71" s="7" t="s">
        <v>191</v>
      </c>
      <c r="K71" s="7" t="str">
        <f aca="false">"EF "&amp;TEXT((Allures!$C$14+75)/86400,"mm:ss")&amp;" · "&amp;"All. 5 km / VMA "&amp;TEXT((Allures!$C$14-10)/86400,"mm:ss")</f>
        <v>EF 06:00 · All. 5 km / VMA 04:35</v>
      </c>
      <c r="L71" s="7" t="n">
        <v>8</v>
      </c>
      <c r="M71" s="12" t="n">
        <f aca="false">G71*L71</f>
        <v>584</v>
      </c>
      <c r="N71" s="9" t="s">
        <v>192</v>
      </c>
      <c r="O71" s="13"/>
      <c r="P71" s="13"/>
      <c r="Q71" s="14" t="str">
        <f aca="false">IF(P71="","",G71*P71)</f>
        <v/>
      </c>
      <c r="R71" s="13"/>
    </row>
    <row r="72" customFormat="false" ht="15" hidden="false" customHeight="true" outlineLevel="0" collapsed="false">
      <c r="A72" s="23" t="n">
        <v>9</v>
      </c>
      <c r="B72" s="23" t="s">
        <v>170</v>
      </c>
      <c r="C72" s="24" t="n">
        <v>46324</v>
      </c>
      <c r="D72" s="23" t="s">
        <v>114</v>
      </c>
      <c r="E72" s="23" t="s">
        <v>100</v>
      </c>
      <c r="F72" s="25" t="s">
        <v>144</v>
      </c>
      <c r="G72" s="23" t="n">
        <v>45</v>
      </c>
      <c r="H72" s="26" t="n">
        <v>2.4</v>
      </c>
      <c r="I72" s="27"/>
      <c r="J72" s="23"/>
      <c r="K72" s="23"/>
      <c r="L72" s="23" t="n">
        <v>5</v>
      </c>
      <c r="M72" s="28" t="n">
        <f aca="false">G72*L72</f>
        <v>225</v>
      </c>
      <c r="N72" s="25" t="s">
        <v>145</v>
      </c>
      <c r="O72" s="13"/>
      <c r="P72" s="13"/>
      <c r="Q72" s="14" t="str">
        <f aca="false">IF(P72="","",G72*P72)</f>
        <v/>
      </c>
      <c r="R72" s="13"/>
    </row>
    <row r="73" customFormat="false" ht="15" hidden="false" customHeight="true" outlineLevel="0" collapsed="false">
      <c r="A73" s="29" t="n">
        <v>9</v>
      </c>
      <c r="B73" s="29" t="s">
        <v>170</v>
      </c>
      <c r="C73" s="30" t="n">
        <v>46325</v>
      </c>
      <c r="D73" s="29" t="s">
        <v>116</v>
      </c>
      <c r="E73" s="29" t="s">
        <v>104</v>
      </c>
      <c r="F73" s="31" t="s">
        <v>132</v>
      </c>
      <c r="G73" s="29" t="n">
        <v>65</v>
      </c>
      <c r="H73" s="32"/>
      <c r="I73" s="33" t="n">
        <v>3000</v>
      </c>
      <c r="J73" s="29"/>
      <c r="K73" s="29"/>
      <c r="L73" s="29" t="n">
        <v>4</v>
      </c>
      <c r="M73" s="34" t="n">
        <f aca="false">G73*L73</f>
        <v>260</v>
      </c>
      <c r="N73" s="31" t="s">
        <v>193</v>
      </c>
      <c r="O73" s="13"/>
      <c r="P73" s="13"/>
      <c r="Q73" s="14" t="str">
        <f aca="false">IF(P73="","",G73*P73)</f>
        <v/>
      </c>
      <c r="R73" s="13"/>
    </row>
    <row r="74" customFormat="false" ht="34.5" hidden="false" customHeight="true" outlineLevel="0" collapsed="false">
      <c r="A74" s="7" t="n">
        <v>9</v>
      </c>
      <c r="B74" s="7" t="s">
        <v>170</v>
      </c>
      <c r="C74" s="8" t="n">
        <v>46326</v>
      </c>
      <c r="D74" s="7" t="s">
        <v>89</v>
      </c>
      <c r="E74" s="7" t="s">
        <v>90</v>
      </c>
      <c r="F74" s="9" t="s">
        <v>194</v>
      </c>
      <c r="G74" s="7" t="n">
        <v>290</v>
      </c>
      <c r="H74" s="10" t="n">
        <v>37</v>
      </c>
      <c r="I74" s="11"/>
      <c r="J74" s="7" t="s">
        <v>92</v>
      </c>
      <c r="K74" s="7" t="str">
        <f aca="false">"À l'effort, pas à l'allure — marche en côte assumée"</f>
        <v>À l'effort, pas à l'allure — marche en côte assumée</v>
      </c>
      <c r="L74" s="7" t="n">
        <v>7</v>
      </c>
      <c r="M74" s="12" t="n">
        <f aca="false">G74*L74</f>
        <v>2030</v>
      </c>
      <c r="N74" s="9" t="s">
        <v>195</v>
      </c>
      <c r="O74" s="13"/>
      <c r="P74" s="13"/>
      <c r="Q74" s="14" t="str">
        <f aca="false">IF(P74="","",G74*P74)</f>
        <v/>
      </c>
      <c r="R74" s="13"/>
    </row>
    <row r="75" customFormat="false" ht="15" hidden="false" customHeight="true" outlineLevel="0" collapsed="false">
      <c r="A75" s="15" t="n">
        <v>9</v>
      </c>
      <c r="B75" s="15" t="s">
        <v>170</v>
      </c>
      <c r="C75" s="16" t="n">
        <v>46327</v>
      </c>
      <c r="D75" s="15" t="s">
        <v>94</v>
      </c>
      <c r="E75" s="15" t="s">
        <v>95</v>
      </c>
      <c r="F75" s="17" t="s">
        <v>96</v>
      </c>
      <c r="G75" s="15" t="n">
        <v>0</v>
      </c>
      <c r="H75" s="18"/>
      <c r="I75" s="19"/>
      <c r="J75" s="15"/>
      <c r="K75" s="15"/>
      <c r="L75" s="15" t="n">
        <v>0</v>
      </c>
      <c r="M75" s="20" t="n">
        <f aca="false">G75*L75</f>
        <v>0</v>
      </c>
      <c r="N75" s="17" t="s">
        <v>149</v>
      </c>
      <c r="O75" s="21"/>
      <c r="P75" s="21"/>
      <c r="Q75" s="22" t="str">
        <f aca="false">IF(P75="","",G75*P75)</f>
        <v/>
      </c>
      <c r="R75" s="21"/>
    </row>
    <row r="76" customFormat="false" ht="34.5" hidden="false" customHeight="true" outlineLevel="0" collapsed="false">
      <c r="A76" s="23" t="n">
        <v>10</v>
      </c>
      <c r="B76" s="23" t="s">
        <v>196</v>
      </c>
      <c r="C76" s="24" t="n">
        <v>46328</v>
      </c>
      <c r="D76" s="23" t="s">
        <v>99</v>
      </c>
      <c r="E76" s="23" t="s">
        <v>100</v>
      </c>
      <c r="F76" s="25" t="s">
        <v>101</v>
      </c>
      <c r="G76" s="23" t="n">
        <v>90</v>
      </c>
      <c r="H76" s="26"/>
      <c r="I76" s="27"/>
      <c r="J76" s="23"/>
      <c r="K76" s="23"/>
      <c r="L76" s="23" t="n">
        <v>7</v>
      </c>
      <c r="M76" s="28" t="n">
        <f aca="false">G76*L76</f>
        <v>630</v>
      </c>
      <c r="N76" s="25" t="s">
        <v>171</v>
      </c>
      <c r="O76" s="13"/>
      <c r="P76" s="13"/>
      <c r="Q76" s="14" t="str">
        <f aca="false">IF(P76="","",G76*P76)</f>
        <v/>
      </c>
      <c r="R76" s="13"/>
    </row>
    <row r="77" customFormat="false" ht="23.25" hidden="false" customHeight="true" outlineLevel="0" collapsed="false">
      <c r="A77" s="29" t="n">
        <v>10</v>
      </c>
      <c r="B77" s="29" t="s">
        <v>196</v>
      </c>
      <c r="C77" s="30" t="n">
        <v>46329</v>
      </c>
      <c r="D77" s="29" t="s">
        <v>103</v>
      </c>
      <c r="E77" s="29" t="s">
        <v>104</v>
      </c>
      <c r="F77" s="31" t="s">
        <v>105</v>
      </c>
      <c r="G77" s="29" t="n">
        <v>75</v>
      </c>
      <c r="H77" s="32"/>
      <c r="I77" s="33" t="n">
        <v>3400</v>
      </c>
      <c r="J77" s="29"/>
      <c r="K77" s="29"/>
      <c r="L77" s="29" t="n">
        <v>5</v>
      </c>
      <c r="M77" s="34" t="n">
        <f aca="false">G77*L77</f>
        <v>375</v>
      </c>
      <c r="N77" s="31" t="s">
        <v>197</v>
      </c>
      <c r="O77" s="13"/>
      <c r="P77" s="13"/>
      <c r="Q77" s="14" t="str">
        <f aca="false">IF(P77="","",G77*P77)</f>
        <v/>
      </c>
      <c r="R77" s="13"/>
    </row>
    <row r="78" customFormat="false" ht="23.25" hidden="false" customHeight="true" outlineLevel="0" collapsed="false">
      <c r="A78" s="35" t="n">
        <v>10</v>
      </c>
      <c r="B78" s="35" t="s">
        <v>196</v>
      </c>
      <c r="C78" s="36" t="n">
        <v>46329</v>
      </c>
      <c r="D78" s="35" t="s">
        <v>107</v>
      </c>
      <c r="E78" s="35" t="s">
        <v>108</v>
      </c>
      <c r="F78" s="37" t="s">
        <v>135</v>
      </c>
      <c r="G78" s="35" t="n">
        <v>45</v>
      </c>
      <c r="H78" s="38"/>
      <c r="I78" s="39"/>
      <c r="J78" s="35"/>
      <c r="K78" s="35"/>
      <c r="L78" s="35" t="n">
        <v>3</v>
      </c>
      <c r="M78" s="40" t="n">
        <f aca="false">G78*L78</f>
        <v>135</v>
      </c>
      <c r="N78" s="37" t="s">
        <v>136</v>
      </c>
      <c r="O78" s="13"/>
      <c r="P78" s="13"/>
      <c r="Q78" s="14" t="str">
        <f aca="false">IF(P78="","",G78*P78)</f>
        <v/>
      </c>
      <c r="R78" s="13"/>
    </row>
    <row r="79" customFormat="false" ht="15" hidden="false" customHeight="true" outlineLevel="0" collapsed="false">
      <c r="A79" s="7" t="n">
        <v>10</v>
      </c>
      <c r="B79" s="7" t="s">
        <v>196</v>
      </c>
      <c r="C79" s="8" t="n">
        <v>46330</v>
      </c>
      <c r="D79" s="7" t="s">
        <v>111</v>
      </c>
      <c r="E79" s="7" t="s">
        <v>90</v>
      </c>
      <c r="F79" s="9" t="s">
        <v>198</v>
      </c>
      <c r="G79" s="7" t="n">
        <v>63</v>
      </c>
      <c r="H79" s="10" t="n">
        <v>11</v>
      </c>
      <c r="I79" s="11"/>
      <c r="J79" s="7" t="s">
        <v>174</v>
      </c>
      <c r="K79" s="7" t="str">
        <f aca="false">"EF "&amp;TEXT((Allures!$C$14+75)/86400,"mm:ss")&amp;" · "&amp;"Seuil "&amp;TEXT((Allures!$C$14+10)/86400,"mm:ss")</f>
        <v>EF 06:00 · Seuil 04:55</v>
      </c>
      <c r="L79" s="7" t="n">
        <v>7</v>
      </c>
      <c r="M79" s="12" t="n">
        <f aca="false">G79*L79</f>
        <v>441</v>
      </c>
      <c r="N79" s="9" t="s">
        <v>199</v>
      </c>
      <c r="O79" s="13"/>
      <c r="P79" s="13"/>
      <c r="Q79" s="14" t="str">
        <f aca="false">IF(P79="","",G79*P79)</f>
        <v/>
      </c>
      <c r="R79" s="13"/>
    </row>
    <row r="80" customFormat="false" ht="23.25" hidden="false" customHeight="true" outlineLevel="0" collapsed="false">
      <c r="A80" s="23" t="n">
        <v>10</v>
      </c>
      <c r="B80" s="23" t="s">
        <v>196</v>
      </c>
      <c r="C80" s="24" t="n">
        <v>46331</v>
      </c>
      <c r="D80" s="23" t="s">
        <v>114</v>
      </c>
      <c r="E80" s="23" t="s">
        <v>100</v>
      </c>
      <c r="F80" s="25" t="s">
        <v>152</v>
      </c>
      <c r="G80" s="23" t="n">
        <v>75</v>
      </c>
      <c r="H80" s="26" t="n">
        <v>2.4</v>
      </c>
      <c r="I80" s="27"/>
      <c r="J80" s="23"/>
      <c r="K80" s="23"/>
      <c r="L80" s="23" t="n">
        <v>7</v>
      </c>
      <c r="M80" s="28" t="n">
        <f aca="false">G80*L80</f>
        <v>525</v>
      </c>
      <c r="N80" s="25" t="s">
        <v>176</v>
      </c>
      <c r="O80" s="13"/>
      <c r="P80" s="13"/>
      <c r="Q80" s="14" t="str">
        <f aca="false">IF(P80="","",G80*P80)</f>
        <v/>
      </c>
      <c r="R80" s="13"/>
    </row>
    <row r="81" customFormat="false" ht="15" hidden="false" customHeight="true" outlineLevel="0" collapsed="false">
      <c r="A81" s="29" t="n">
        <v>10</v>
      </c>
      <c r="B81" s="29" t="s">
        <v>196</v>
      </c>
      <c r="C81" s="30" t="n">
        <v>46332</v>
      </c>
      <c r="D81" s="29" t="s">
        <v>116</v>
      </c>
      <c r="E81" s="29" t="s">
        <v>104</v>
      </c>
      <c r="F81" s="31" t="s">
        <v>132</v>
      </c>
      <c r="G81" s="29" t="n">
        <v>55</v>
      </c>
      <c r="H81" s="32"/>
      <c r="I81" s="33" t="n">
        <v>2600</v>
      </c>
      <c r="J81" s="29"/>
      <c r="K81" s="29"/>
      <c r="L81" s="29" t="n">
        <v>4</v>
      </c>
      <c r="M81" s="34" t="n">
        <f aca="false">G81*L81</f>
        <v>220</v>
      </c>
      <c r="N81" s="31" t="s">
        <v>200</v>
      </c>
      <c r="O81" s="13"/>
      <c r="P81" s="13"/>
      <c r="Q81" s="14" t="str">
        <f aca="false">IF(P81="","",G81*P81)</f>
        <v/>
      </c>
      <c r="R81" s="13"/>
    </row>
    <row r="82" customFormat="false" ht="15" hidden="false" customHeight="true" outlineLevel="0" collapsed="false">
      <c r="A82" s="7" t="n">
        <v>10</v>
      </c>
      <c r="B82" s="7" t="s">
        <v>196</v>
      </c>
      <c r="C82" s="8" t="n">
        <v>46333</v>
      </c>
      <c r="D82" s="7" t="s">
        <v>89</v>
      </c>
      <c r="E82" s="7" t="s">
        <v>90</v>
      </c>
      <c r="F82" s="9" t="s">
        <v>201</v>
      </c>
      <c r="G82" s="7" t="n">
        <v>85</v>
      </c>
      <c r="H82" s="10" t="n">
        <v>15</v>
      </c>
      <c r="I82" s="11"/>
      <c r="J82" s="7" t="s">
        <v>120</v>
      </c>
      <c r="K82" s="7" t="str">
        <f aca="false">"EF "&amp;TEXT((Allures!$C$14+75)/86400,"mm:ss")</f>
        <v>EF 06:00</v>
      </c>
      <c r="L82" s="7" t="n">
        <v>4</v>
      </c>
      <c r="M82" s="12" t="n">
        <f aca="false">G82*L82</f>
        <v>340</v>
      </c>
      <c r="N82" s="9" t="s">
        <v>202</v>
      </c>
      <c r="O82" s="13"/>
      <c r="P82" s="13"/>
      <c r="Q82" s="14" t="str">
        <f aca="false">IF(P82="","",G82*P82)</f>
        <v/>
      </c>
      <c r="R82" s="13"/>
    </row>
    <row r="83" customFormat="false" ht="15" hidden="false" customHeight="true" outlineLevel="0" collapsed="false">
      <c r="A83" s="15" t="n">
        <v>10</v>
      </c>
      <c r="B83" s="15" t="s">
        <v>196</v>
      </c>
      <c r="C83" s="16" t="n">
        <v>46334</v>
      </c>
      <c r="D83" s="15" t="s">
        <v>94</v>
      </c>
      <c r="E83" s="15" t="s">
        <v>95</v>
      </c>
      <c r="F83" s="17" t="s">
        <v>96</v>
      </c>
      <c r="G83" s="15" t="n">
        <v>0</v>
      </c>
      <c r="H83" s="18"/>
      <c r="I83" s="19"/>
      <c r="J83" s="15"/>
      <c r="K83" s="15"/>
      <c r="L83" s="15" t="n">
        <v>0</v>
      </c>
      <c r="M83" s="20" t="n">
        <f aca="false">G83*L83</f>
        <v>0</v>
      </c>
      <c r="N83" s="17" t="s">
        <v>139</v>
      </c>
      <c r="O83" s="21"/>
      <c r="P83" s="21"/>
      <c r="Q83" s="22" t="str">
        <f aca="false">IF(P83="","",G83*P83)</f>
        <v/>
      </c>
      <c r="R83" s="21"/>
    </row>
    <row r="84" customFormat="false" ht="34.5" hidden="false" customHeight="true" outlineLevel="0" collapsed="false">
      <c r="A84" s="23" t="n">
        <v>11</v>
      </c>
      <c r="B84" s="23" t="s">
        <v>170</v>
      </c>
      <c r="C84" s="24" t="n">
        <v>46335</v>
      </c>
      <c r="D84" s="23" t="s">
        <v>99</v>
      </c>
      <c r="E84" s="23" t="s">
        <v>100</v>
      </c>
      <c r="F84" s="25" t="s">
        <v>101</v>
      </c>
      <c r="G84" s="23" t="n">
        <v>90</v>
      </c>
      <c r="H84" s="26"/>
      <c r="I84" s="27"/>
      <c r="J84" s="23"/>
      <c r="K84" s="23"/>
      <c r="L84" s="23" t="n">
        <v>7</v>
      </c>
      <c r="M84" s="28" t="n">
        <f aca="false">G84*L84</f>
        <v>630</v>
      </c>
      <c r="N84" s="25" t="s">
        <v>171</v>
      </c>
      <c r="O84" s="13"/>
      <c r="P84" s="13"/>
      <c r="Q84" s="14" t="str">
        <f aca="false">IF(P84="","",G84*P84)</f>
        <v/>
      </c>
      <c r="R84" s="13"/>
    </row>
    <row r="85" customFormat="false" ht="23.25" hidden="false" customHeight="true" outlineLevel="0" collapsed="false">
      <c r="A85" s="29" t="n">
        <v>11</v>
      </c>
      <c r="B85" s="29" t="s">
        <v>170</v>
      </c>
      <c r="C85" s="30" t="n">
        <v>46336</v>
      </c>
      <c r="D85" s="29" t="s">
        <v>103</v>
      </c>
      <c r="E85" s="29" t="s">
        <v>104</v>
      </c>
      <c r="F85" s="31" t="s">
        <v>105</v>
      </c>
      <c r="G85" s="29" t="n">
        <v>90</v>
      </c>
      <c r="H85" s="32"/>
      <c r="I85" s="33" t="n">
        <v>4000</v>
      </c>
      <c r="J85" s="29"/>
      <c r="K85" s="29"/>
      <c r="L85" s="29" t="n">
        <v>5</v>
      </c>
      <c r="M85" s="34" t="n">
        <f aca="false">G85*L85</f>
        <v>450</v>
      </c>
      <c r="N85" s="31" t="s">
        <v>203</v>
      </c>
      <c r="O85" s="13"/>
      <c r="P85" s="13"/>
      <c r="Q85" s="14" t="str">
        <f aca="false">IF(P85="","",G85*P85)</f>
        <v/>
      </c>
      <c r="R85" s="13"/>
    </row>
    <row r="86" customFormat="false" ht="23.25" hidden="false" customHeight="true" outlineLevel="0" collapsed="false">
      <c r="A86" s="35" t="n">
        <v>11</v>
      </c>
      <c r="B86" s="35" t="s">
        <v>170</v>
      </c>
      <c r="C86" s="36" t="n">
        <v>46336</v>
      </c>
      <c r="D86" s="35" t="s">
        <v>107</v>
      </c>
      <c r="E86" s="35" t="s">
        <v>108</v>
      </c>
      <c r="F86" s="37" t="s">
        <v>135</v>
      </c>
      <c r="G86" s="35" t="n">
        <v>45</v>
      </c>
      <c r="H86" s="38"/>
      <c r="I86" s="39"/>
      <c r="J86" s="35"/>
      <c r="K86" s="35"/>
      <c r="L86" s="35" t="n">
        <v>3</v>
      </c>
      <c r="M86" s="40" t="n">
        <f aca="false">G86*L86</f>
        <v>135</v>
      </c>
      <c r="N86" s="37" t="s">
        <v>136</v>
      </c>
      <c r="O86" s="13"/>
      <c r="P86" s="13"/>
      <c r="Q86" s="14" t="str">
        <f aca="false">IF(P86="","",G86*P86)</f>
        <v/>
      </c>
      <c r="R86" s="13"/>
    </row>
    <row r="87" customFormat="false" ht="23.25" hidden="false" customHeight="true" outlineLevel="0" collapsed="false">
      <c r="A87" s="7" t="n">
        <v>11</v>
      </c>
      <c r="B87" s="7" t="s">
        <v>170</v>
      </c>
      <c r="C87" s="8" t="n">
        <v>46337</v>
      </c>
      <c r="D87" s="7" t="s">
        <v>111</v>
      </c>
      <c r="E87" s="7" t="s">
        <v>90</v>
      </c>
      <c r="F87" s="9" t="s">
        <v>204</v>
      </c>
      <c r="G87" s="7" t="n">
        <v>73</v>
      </c>
      <c r="H87" s="10" t="n">
        <v>13</v>
      </c>
      <c r="I87" s="11"/>
      <c r="J87" s="7" t="s">
        <v>205</v>
      </c>
      <c r="K87" s="7" t="str">
        <f aca="false">"EF "&amp;TEXT((Allures!$C$14+75)/86400,"mm:ss")&amp;" · "&amp;"Seuil "&amp;TEXT((Allures!$C$14+10)/86400,"mm:ss")&amp;" · "&amp;"All. semi "&amp;TEXT((Allures!$C$14+14)/86400,"mm:ss")</f>
        <v>EF 06:00 · Seuil 04:55 · All. semi 04:59</v>
      </c>
      <c r="L87" s="7" t="n">
        <v>7</v>
      </c>
      <c r="M87" s="12" t="n">
        <f aca="false">G87*L87</f>
        <v>511</v>
      </c>
      <c r="N87" s="9" t="s">
        <v>206</v>
      </c>
      <c r="O87" s="13"/>
      <c r="P87" s="13"/>
      <c r="Q87" s="14" t="str">
        <f aca="false">IF(P87="","",G87*P87)</f>
        <v/>
      </c>
      <c r="R87" s="13"/>
    </row>
    <row r="88" customFormat="false" ht="23.25" hidden="false" customHeight="true" outlineLevel="0" collapsed="false">
      <c r="A88" s="23" t="n">
        <v>11</v>
      </c>
      <c r="B88" s="23" t="s">
        <v>170</v>
      </c>
      <c r="C88" s="24" t="n">
        <v>46338</v>
      </c>
      <c r="D88" s="23" t="s">
        <v>114</v>
      </c>
      <c r="E88" s="23" t="s">
        <v>100</v>
      </c>
      <c r="F88" s="25" t="s">
        <v>152</v>
      </c>
      <c r="G88" s="23" t="n">
        <v>75</v>
      </c>
      <c r="H88" s="26" t="n">
        <v>2.4</v>
      </c>
      <c r="I88" s="27"/>
      <c r="J88" s="23"/>
      <c r="K88" s="23"/>
      <c r="L88" s="23" t="n">
        <v>7</v>
      </c>
      <c r="M88" s="28" t="n">
        <f aca="false">G88*L88</f>
        <v>525</v>
      </c>
      <c r="N88" s="25" t="s">
        <v>176</v>
      </c>
      <c r="O88" s="13"/>
      <c r="P88" s="13"/>
      <c r="Q88" s="14" t="str">
        <f aca="false">IF(P88="","",G88*P88)</f>
        <v/>
      </c>
      <c r="R88" s="13"/>
    </row>
    <row r="89" customFormat="false" ht="15" hidden="false" customHeight="true" outlineLevel="0" collapsed="false">
      <c r="A89" s="29" t="n">
        <v>11</v>
      </c>
      <c r="B89" s="29" t="s">
        <v>170</v>
      </c>
      <c r="C89" s="30" t="n">
        <v>46339</v>
      </c>
      <c r="D89" s="29" t="s">
        <v>116</v>
      </c>
      <c r="E89" s="29" t="s">
        <v>104</v>
      </c>
      <c r="F89" s="31" t="s">
        <v>132</v>
      </c>
      <c r="G89" s="29" t="n">
        <v>65</v>
      </c>
      <c r="H89" s="32"/>
      <c r="I89" s="33" t="n">
        <v>3200</v>
      </c>
      <c r="J89" s="29"/>
      <c r="K89" s="29"/>
      <c r="L89" s="29" t="n">
        <v>4</v>
      </c>
      <c r="M89" s="34" t="n">
        <f aca="false">G89*L89</f>
        <v>260</v>
      </c>
      <c r="N89" s="31" t="s">
        <v>207</v>
      </c>
      <c r="O89" s="13"/>
      <c r="P89" s="13"/>
      <c r="Q89" s="14" t="str">
        <f aca="false">IF(P89="","",G89*P89)</f>
        <v/>
      </c>
      <c r="R89" s="13"/>
    </row>
    <row r="90" customFormat="false" ht="15" hidden="false" customHeight="true" outlineLevel="0" collapsed="false">
      <c r="A90" s="7" t="n">
        <v>11</v>
      </c>
      <c r="B90" s="7" t="s">
        <v>170</v>
      </c>
      <c r="C90" s="8" t="n">
        <v>46339</v>
      </c>
      <c r="D90" s="7" t="s">
        <v>116</v>
      </c>
      <c r="E90" s="7" t="s">
        <v>90</v>
      </c>
      <c r="F90" s="9" t="s">
        <v>178</v>
      </c>
      <c r="G90" s="7" t="n">
        <v>58</v>
      </c>
      <c r="H90" s="10" t="n">
        <v>10</v>
      </c>
      <c r="I90" s="11"/>
      <c r="J90" s="7" t="s">
        <v>179</v>
      </c>
      <c r="K90" s="7" t="str">
        <f aca="false">"Récup "&amp;TEXT((Allures!$C$14+95)/86400,"mm:ss")</f>
        <v>Récup 06:20</v>
      </c>
      <c r="L90" s="7" t="n">
        <v>3</v>
      </c>
      <c r="M90" s="12" t="n">
        <f aca="false">G90*L90</f>
        <v>174</v>
      </c>
      <c r="N90" s="9" t="s">
        <v>187</v>
      </c>
      <c r="O90" s="13"/>
      <c r="P90" s="13"/>
      <c r="Q90" s="14" t="str">
        <f aca="false">IF(P90="","",G90*P90)</f>
        <v/>
      </c>
      <c r="R90" s="13"/>
    </row>
    <row r="91" customFormat="false" ht="15" hidden="false" customHeight="true" outlineLevel="0" collapsed="false">
      <c r="A91" s="7" t="n">
        <v>11</v>
      </c>
      <c r="B91" s="7" t="s">
        <v>170</v>
      </c>
      <c r="C91" s="8" t="n">
        <v>46340</v>
      </c>
      <c r="D91" s="7" t="s">
        <v>89</v>
      </c>
      <c r="E91" s="7" t="s">
        <v>90</v>
      </c>
      <c r="F91" s="9" t="s">
        <v>208</v>
      </c>
      <c r="G91" s="7" t="n">
        <v>91</v>
      </c>
      <c r="H91" s="10" t="n">
        <v>16</v>
      </c>
      <c r="I91" s="11"/>
      <c r="J91" s="7" t="s">
        <v>209</v>
      </c>
      <c r="K91" s="7" t="str">
        <f aca="false">"EF "&amp;TEXT((Allures!$C$14+75)/86400,"mm:ss")&amp;" · "&amp;"All. semi "&amp;TEXT((Allures!$C$14+14)/86400,"mm:ss")</f>
        <v>EF 06:00 · All. semi 04:59</v>
      </c>
      <c r="L91" s="7" t="n">
        <v>6</v>
      </c>
      <c r="M91" s="12" t="n">
        <f aca="false">G91*L91</f>
        <v>546</v>
      </c>
      <c r="N91" s="9" t="s">
        <v>210</v>
      </c>
      <c r="O91" s="13"/>
      <c r="P91" s="13"/>
      <c r="Q91" s="14" t="str">
        <f aca="false">IF(P91="","",G91*P91)</f>
        <v/>
      </c>
      <c r="R91" s="13"/>
    </row>
    <row r="92" customFormat="false" ht="15" hidden="false" customHeight="true" outlineLevel="0" collapsed="false">
      <c r="A92" s="15" t="n">
        <v>11</v>
      </c>
      <c r="B92" s="15" t="s">
        <v>170</v>
      </c>
      <c r="C92" s="16" t="n">
        <v>46341</v>
      </c>
      <c r="D92" s="15" t="s">
        <v>94</v>
      </c>
      <c r="E92" s="15" t="s">
        <v>95</v>
      </c>
      <c r="F92" s="17" t="s">
        <v>96</v>
      </c>
      <c r="G92" s="15" t="n">
        <v>0</v>
      </c>
      <c r="H92" s="18"/>
      <c r="I92" s="19"/>
      <c r="J92" s="15"/>
      <c r="K92" s="15"/>
      <c r="L92" s="15" t="n">
        <v>0</v>
      </c>
      <c r="M92" s="20" t="n">
        <f aca="false">G92*L92</f>
        <v>0</v>
      </c>
      <c r="N92" s="17" t="s">
        <v>139</v>
      </c>
      <c r="O92" s="21"/>
      <c r="P92" s="21"/>
      <c r="Q92" s="22" t="str">
        <f aca="false">IF(P92="","",G92*P92)</f>
        <v/>
      </c>
      <c r="R92" s="21"/>
    </row>
    <row r="93" customFormat="false" ht="23.25" hidden="false" customHeight="true" outlineLevel="0" collapsed="false">
      <c r="A93" s="23" t="n">
        <v>12</v>
      </c>
      <c r="B93" s="23" t="s">
        <v>211</v>
      </c>
      <c r="C93" s="24" t="n">
        <v>46342</v>
      </c>
      <c r="D93" s="23" t="s">
        <v>99</v>
      </c>
      <c r="E93" s="23" t="s">
        <v>100</v>
      </c>
      <c r="F93" s="25" t="s">
        <v>212</v>
      </c>
      <c r="G93" s="23" t="n">
        <v>40</v>
      </c>
      <c r="H93" s="26"/>
      <c r="I93" s="27"/>
      <c r="J93" s="23"/>
      <c r="K93" s="23"/>
      <c r="L93" s="23" t="n">
        <v>3</v>
      </c>
      <c r="M93" s="28" t="n">
        <f aca="false">G93*L93</f>
        <v>120</v>
      </c>
      <c r="N93" s="25" t="s">
        <v>213</v>
      </c>
      <c r="O93" s="13"/>
      <c r="P93" s="13"/>
      <c r="Q93" s="14" t="str">
        <f aca="false">IF(P93="","",G93*P93)</f>
        <v/>
      </c>
      <c r="R93" s="13"/>
    </row>
    <row r="94" customFormat="false" ht="15" hidden="false" customHeight="true" outlineLevel="0" collapsed="false">
      <c r="A94" s="29" t="n">
        <v>12</v>
      </c>
      <c r="B94" s="29" t="s">
        <v>211</v>
      </c>
      <c r="C94" s="30" t="n">
        <v>46343</v>
      </c>
      <c r="D94" s="29" t="s">
        <v>141</v>
      </c>
      <c r="E94" s="29" t="s">
        <v>104</v>
      </c>
      <c r="F94" s="31" t="s">
        <v>105</v>
      </c>
      <c r="G94" s="29" t="n">
        <v>50</v>
      </c>
      <c r="H94" s="32"/>
      <c r="I94" s="33" t="n">
        <v>2000</v>
      </c>
      <c r="J94" s="29"/>
      <c r="K94" s="29"/>
      <c r="L94" s="29" t="n">
        <v>5</v>
      </c>
      <c r="M94" s="34" t="n">
        <f aca="false">G94*L94</f>
        <v>250</v>
      </c>
      <c r="N94" s="31" t="s">
        <v>214</v>
      </c>
      <c r="O94" s="13"/>
      <c r="P94" s="13"/>
      <c r="Q94" s="14" t="str">
        <f aca="false">IF(P94="","",G94*P94)</f>
        <v/>
      </c>
      <c r="R94" s="13"/>
    </row>
    <row r="95" customFormat="false" ht="15" hidden="false" customHeight="true" outlineLevel="0" collapsed="false">
      <c r="A95" s="7" t="n">
        <v>12</v>
      </c>
      <c r="B95" s="7" t="s">
        <v>211</v>
      </c>
      <c r="C95" s="8" t="n">
        <v>46344</v>
      </c>
      <c r="D95" s="7" t="s">
        <v>111</v>
      </c>
      <c r="E95" s="7" t="s">
        <v>90</v>
      </c>
      <c r="F95" s="9" t="s">
        <v>215</v>
      </c>
      <c r="G95" s="7" t="n">
        <v>58</v>
      </c>
      <c r="H95" s="10" t="n">
        <v>10</v>
      </c>
      <c r="I95" s="11"/>
      <c r="J95" s="7" t="s">
        <v>209</v>
      </c>
      <c r="K95" s="7" t="str">
        <f aca="false">"EF "&amp;TEXT((Allures!$C$14+75)/86400,"mm:ss")&amp;" · "&amp;"All. semi "&amp;TEXT((Allures!$C$14+14)/86400,"mm:ss")</f>
        <v>EF 06:00 · All. semi 04:59</v>
      </c>
      <c r="L95" s="7" t="n">
        <v>5</v>
      </c>
      <c r="M95" s="12" t="n">
        <f aca="false">G95*L95</f>
        <v>290</v>
      </c>
      <c r="N95" s="9" t="s">
        <v>216</v>
      </c>
      <c r="O95" s="13"/>
      <c r="P95" s="13"/>
      <c r="Q95" s="14" t="str">
        <f aca="false">IF(P95="","",G95*P95)</f>
        <v/>
      </c>
      <c r="R95" s="13"/>
    </row>
    <row r="96" customFormat="false" ht="15" hidden="false" customHeight="true" outlineLevel="0" collapsed="false">
      <c r="A96" s="15" t="n">
        <v>12</v>
      </c>
      <c r="B96" s="15" t="s">
        <v>211</v>
      </c>
      <c r="C96" s="16" t="n">
        <v>46345</v>
      </c>
      <c r="D96" s="15" t="s">
        <v>114</v>
      </c>
      <c r="E96" s="15" t="s">
        <v>95</v>
      </c>
      <c r="F96" s="17" t="s">
        <v>95</v>
      </c>
      <c r="G96" s="15" t="n">
        <v>0</v>
      </c>
      <c r="H96" s="18"/>
      <c r="I96" s="19"/>
      <c r="J96" s="15"/>
      <c r="K96" s="15"/>
      <c r="L96" s="15" t="n">
        <v>0</v>
      </c>
      <c r="M96" s="20" t="n">
        <f aca="false">G96*L96</f>
        <v>0</v>
      </c>
      <c r="N96" s="17" t="s">
        <v>217</v>
      </c>
      <c r="O96" s="21"/>
      <c r="P96" s="21"/>
      <c r="Q96" s="22" t="str">
        <f aca="false">IF(P96="","",G96*P96)</f>
        <v/>
      </c>
      <c r="R96" s="21"/>
    </row>
    <row r="97" customFormat="false" ht="15" hidden="false" customHeight="true" outlineLevel="0" collapsed="false">
      <c r="A97" s="29" t="n">
        <v>12</v>
      </c>
      <c r="B97" s="29" t="s">
        <v>211</v>
      </c>
      <c r="C97" s="30" t="n">
        <v>46346</v>
      </c>
      <c r="D97" s="29" t="s">
        <v>116</v>
      </c>
      <c r="E97" s="29" t="s">
        <v>104</v>
      </c>
      <c r="F97" s="31" t="s">
        <v>132</v>
      </c>
      <c r="G97" s="29" t="n">
        <v>35</v>
      </c>
      <c r="H97" s="32"/>
      <c r="I97" s="33" t="n">
        <v>1500</v>
      </c>
      <c r="J97" s="29"/>
      <c r="K97" s="29"/>
      <c r="L97" s="29" t="n">
        <v>4</v>
      </c>
      <c r="M97" s="34" t="n">
        <f aca="false">G97*L97</f>
        <v>140</v>
      </c>
      <c r="N97" s="31" t="s">
        <v>218</v>
      </c>
      <c r="O97" s="13"/>
      <c r="P97" s="13"/>
      <c r="Q97" s="14" t="str">
        <f aca="false">IF(P97="","",G97*P97)</f>
        <v/>
      </c>
      <c r="R97" s="13"/>
    </row>
    <row r="98" customFormat="false" ht="15" hidden="false" customHeight="true" outlineLevel="0" collapsed="false">
      <c r="A98" s="15" t="n">
        <v>12</v>
      </c>
      <c r="B98" s="15" t="s">
        <v>211</v>
      </c>
      <c r="C98" s="16" t="n">
        <v>46347</v>
      </c>
      <c r="D98" s="15" t="s">
        <v>89</v>
      </c>
      <c r="E98" s="15" t="s">
        <v>95</v>
      </c>
      <c r="F98" s="17" t="s">
        <v>166</v>
      </c>
      <c r="G98" s="15" t="n">
        <v>0</v>
      </c>
      <c r="H98" s="18"/>
      <c r="I98" s="19"/>
      <c r="J98" s="15"/>
      <c r="K98" s="15"/>
      <c r="L98" s="15" t="n">
        <v>0</v>
      </c>
      <c r="M98" s="20" t="n">
        <f aca="false">G98*L98</f>
        <v>0</v>
      </c>
      <c r="N98" s="17" t="s">
        <v>219</v>
      </c>
      <c r="O98" s="21"/>
      <c r="P98" s="21"/>
      <c r="Q98" s="22" t="str">
        <f aca="false">IF(P98="","",G98*P98)</f>
        <v/>
      </c>
      <c r="R98" s="21"/>
    </row>
    <row r="99" customFormat="false" ht="45.75" hidden="false" customHeight="true" outlineLevel="0" collapsed="false">
      <c r="A99" s="7" t="n">
        <v>12</v>
      </c>
      <c r="B99" s="7" t="s">
        <v>211</v>
      </c>
      <c r="C99" s="8" t="n">
        <v>46348</v>
      </c>
      <c r="D99" s="7" t="s">
        <v>94</v>
      </c>
      <c r="E99" s="7" t="s">
        <v>90</v>
      </c>
      <c r="F99" s="9" t="s">
        <v>220</v>
      </c>
      <c r="G99" s="7" t="n">
        <v>95</v>
      </c>
      <c r="H99" s="10" t="n">
        <v>21.1</v>
      </c>
      <c r="I99" s="11"/>
      <c r="J99" s="7" t="s">
        <v>221</v>
      </c>
      <c r="K99" s="7" t="str">
        <f aca="false">"All. semi "&amp;TEXT((Allures!$C$14+14)/86400,"mm:ss")</f>
        <v>All. semi 04:59</v>
      </c>
      <c r="L99" s="7" t="n">
        <v>10</v>
      </c>
      <c r="M99" s="12" t="n">
        <f aca="false">G99*L99</f>
        <v>950</v>
      </c>
      <c r="N99" s="9" t="s">
        <v>222</v>
      </c>
      <c r="O99" s="13"/>
      <c r="P99" s="13"/>
      <c r="Q99" s="14" t="str">
        <f aca="false">IF(P99="","",G99*P99)</f>
        <v/>
      </c>
      <c r="R99" s="13"/>
    </row>
    <row r="100" customFormat="false" ht="23.25" hidden="false" customHeight="true" outlineLevel="0" collapsed="false">
      <c r="A100" s="23" t="n">
        <v>13</v>
      </c>
      <c r="B100" s="23" t="s">
        <v>223</v>
      </c>
      <c r="C100" s="24" t="n">
        <v>46349</v>
      </c>
      <c r="D100" s="23" t="s">
        <v>99</v>
      </c>
      <c r="E100" s="23" t="s">
        <v>100</v>
      </c>
      <c r="F100" s="25" t="s">
        <v>101</v>
      </c>
      <c r="G100" s="23" t="n">
        <v>60</v>
      </c>
      <c r="H100" s="26"/>
      <c r="I100" s="27"/>
      <c r="J100" s="23"/>
      <c r="K100" s="23"/>
      <c r="L100" s="23" t="n">
        <v>5</v>
      </c>
      <c r="M100" s="28" t="n">
        <f aca="false">G100*L100</f>
        <v>300</v>
      </c>
      <c r="N100" s="25" t="s">
        <v>224</v>
      </c>
      <c r="O100" s="13"/>
      <c r="P100" s="13"/>
      <c r="Q100" s="14" t="str">
        <f aca="false">IF(P100="","",G100*P100)</f>
        <v/>
      </c>
      <c r="R100" s="13"/>
    </row>
    <row r="101" customFormat="false" ht="23.25" hidden="false" customHeight="true" outlineLevel="0" collapsed="false">
      <c r="A101" s="29" t="n">
        <v>13</v>
      </c>
      <c r="B101" s="29" t="s">
        <v>223</v>
      </c>
      <c r="C101" s="30" t="n">
        <v>46350</v>
      </c>
      <c r="D101" s="29" t="s">
        <v>141</v>
      </c>
      <c r="E101" s="29" t="s">
        <v>104</v>
      </c>
      <c r="F101" s="31" t="s">
        <v>105</v>
      </c>
      <c r="G101" s="29" t="n">
        <v>70</v>
      </c>
      <c r="H101" s="32"/>
      <c r="I101" s="33" t="n">
        <v>3000</v>
      </c>
      <c r="J101" s="29"/>
      <c r="K101" s="29"/>
      <c r="L101" s="29" t="n">
        <v>5</v>
      </c>
      <c r="M101" s="34" t="n">
        <f aca="false">G101*L101</f>
        <v>350</v>
      </c>
      <c r="N101" s="31" t="s">
        <v>225</v>
      </c>
      <c r="O101" s="13"/>
      <c r="P101" s="13"/>
      <c r="Q101" s="14" t="str">
        <f aca="false">IF(P101="","",G101*P101)</f>
        <v/>
      </c>
      <c r="R101" s="13"/>
    </row>
    <row r="102" customFormat="false" ht="15" hidden="false" customHeight="true" outlineLevel="0" collapsed="false">
      <c r="A102" s="7" t="n">
        <v>13</v>
      </c>
      <c r="B102" s="7" t="s">
        <v>223</v>
      </c>
      <c r="C102" s="8" t="n">
        <v>46351</v>
      </c>
      <c r="D102" s="7" t="s">
        <v>111</v>
      </c>
      <c r="E102" s="7" t="s">
        <v>90</v>
      </c>
      <c r="F102" s="9" t="s">
        <v>119</v>
      </c>
      <c r="G102" s="7" t="n">
        <v>58</v>
      </c>
      <c r="H102" s="10" t="n">
        <v>10</v>
      </c>
      <c r="I102" s="11"/>
      <c r="J102" s="7" t="s">
        <v>120</v>
      </c>
      <c r="K102" s="7" t="str">
        <f aca="false">"EF "&amp;TEXT((Allures!$C$14+75)/86400,"mm:ss")</f>
        <v>EF 06:00</v>
      </c>
      <c r="L102" s="7" t="n">
        <v>3</v>
      </c>
      <c r="M102" s="12" t="n">
        <f aca="false">G102*L102</f>
        <v>174</v>
      </c>
      <c r="N102" s="9" t="s">
        <v>226</v>
      </c>
      <c r="O102" s="13"/>
      <c r="P102" s="13"/>
      <c r="Q102" s="14" t="str">
        <f aca="false">IF(P102="","",G102*P102)</f>
        <v/>
      </c>
      <c r="R102" s="13"/>
    </row>
    <row r="103" customFormat="false" ht="15" hidden="false" customHeight="true" outlineLevel="0" collapsed="false">
      <c r="A103" s="23" t="n">
        <v>13</v>
      </c>
      <c r="B103" s="23" t="s">
        <v>223</v>
      </c>
      <c r="C103" s="24" t="n">
        <v>46352</v>
      </c>
      <c r="D103" s="23" t="s">
        <v>114</v>
      </c>
      <c r="E103" s="23" t="s">
        <v>100</v>
      </c>
      <c r="F103" s="25" t="s">
        <v>227</v>
      </c>
      <c r="G103" s="23" t="n">
        <v>45</v>
      </c>
      <c r="H103" s="26" t="n">
        <v>1.2</v>
      </c>
      <c r="I103" s="27"/>
      <c r="J103" s="23"/>
      <c r="K103" s="23"/>
      <c r="L103" s="23" t="n">
        <v>5</v>
      </c>
      <c r="M103" s="28" t="n">
        <f aca="false">G103*L103</f>
        <v>225</v>
      </c>
      <c r="N103" s="25" t="s">
        <v>228</v>
      </c>
      <c r="O103" s="13"/>
      <c r="P103" s="13"/>
      <c r="Q103" s="14" t="str">
        <f aca="false">IF(P103="","",G103*P103)</f>
        <v/>
      </c>
      <c r="R103" s="13"/>
    </row>
    <row r="104" customFormat="false" ht="15" hidden="false" customHeight="true" outlineLevel="0" collapsed="false">
      <c r="A104" s="29" t="n">
        <v>13</v>
      </c>
      <c r="B104" s="29" t="s">
        <v>223</v>
      </c>
      <c r="C104" s="30" t="n">
        <v>46353</v>
      </c>
      <c r="D104" s="29" t="s">
        <v>116</v>
      </c>
      <c r="E104" s="29" t="s">
        <v>104</v>
      </c>
      <c r="F104" s="31" t="s">
        <v>132</v>
      </c>
      <c r="G104" s="29" t="n">
        <v>50</v>
      </c>
      <c r="H104" s="32"/>
      <c r="I104" s="33" t="n">
        <v>2400</v>
      </c>
      <c r="J104" s="29"/>
      <c r="K104" s="29"/>
      <c r="L104" s="29" t="n">
        <v>4</v>
      </c>
      <c r="M104" s="34" t="n">
        <f aca="false">G104*L104</f>
        <v>200</v>
      </c>
      <c r="N104" s="31" t="s">
        <v>229</v>
      </c>
      <c r="O104" s="13"/>
      <c r="P104" s="13"/>
      <c r="Q104" s="14" t="str">
        <f aca="false">IF(P104="","",G104*P104)</f>
        <v/>
      </c>
      <c r="R104" s="13"/>
    </row>
    <row r="105" customFormat="false" ht="15" hidden="false" customHeight="true" outlineLevel="0" collapsed="false">
      <c r="A105" s="15" t="n">
        <v>13</v>
      </c>
      <c r="B105" s="15" t="s">
        <v>223</v>
      </c>
      <c r="C105" s="16" t="n">
        <v>46354</v>
      </c>
      <c r="D105" s="15" t="s">
        <v>89</v>
      </c>
      <c r="E105" s="15" t="s">
        <v>95</v>
      </c>
      <c r="F105" s="17" t="s">
        <v>166</v>
      </c>
      <c r="G105" s="15" t="n">
        <v>0</v>
      </c>
      <c r="H105" s="18"/>
      <c r="I105" s="19"/>
      <c r="J105" s="15"/>
      <c r="K105" s="15"/>
      <c r="L105" s="15" t="n">
        <v>0</v>
      </c>
      <c r="M105" s="20" t="n">
        <f aca="false">G105*L105</f>
        <v>0</v>
      </c>
      <c r="N105" s="17" t="s">
        <v>219</v>
      </c>
      <c r="O105" s="21"/>
      <c r="P105" s="21"/>
      <c r="Q105" s="22" t="str">
        <f aca="false">IF(P105="","",G105*P105)</f>
        <v/>
      </c>
      <c r="R105" s="21"/>
    </row>
    <row r="106" customFormat="false" ht="45.75" hidden="false" customHeight="true" outlineLevel="0" collapsed="false">
      <c r="A106" s="7" t="n">
        <v>13</v>
      </c>
      <c r="B106" s="7" t="s">
        <v>223</v>
      </c>
      <c r="C106" s="8" t="n">
        <v>46355</v>
      </c>
      <c r="D106" s="7" t="s">
        <v>94</v>
      </c>
      <c r="E106" s="7" t="s">
        <v>90</v>
      </c>
      <c r="F106" s="9" t="s">
        <v>230</v>
      </c>
      <c r="G106" s="7" t="n">
        <v>40</v>
      </c>
      <c r="H106" s="10" t="n">
        <v>10</v>
      </c>
      <c r="I106" s="11"/>
      <c r="J106" s="7" t="s">
        <v>231</v>
      </c>
      <c r="K106" s="7" t="str">
        <f aca="false">"All. 10 km "&amp;TEXT((Allures!$C$14+0)/86400,"mm:ss")</f>
        <v>All. 10 km 04:45</v>
      </c>
      <c r="L106" s="7" t="n">
        <v>10</v>
      </c>
      <c r="M106" s="12" t="n">
        <f aca="false">G106*L106</f>
        <v>400</v>
      </c>
      <c r="N106" s="9" t="s">
        <v>232</v>
      </c>
      <c r="O106" s="13"/>
      <c r="P106" s="13"/>
      <c r="Q106" s="14" t="str">
        <f aca="false">IF(P106="","",G106*P106)</f>
        <v/>
      </c>
      <c r="R106" s="13"/>
    </row>
    <row r="107" customFormat="false" ht="34.5" hidden="false" customHeight="true" outlineLevel="0" collapsed="false">
      <c r="A107" s="23" t="n">
        <v>14</v>
      </c>
      <c r="B107" s="23" t="s">
        <v>233</v>
      </c>
      <c r="C107" s="24" t="n">
        <v>46356</v>
      </c>
      <c r="D107" s="23" t="s">
        <v>99</v>
      </c>
      <c r="E107" s="23" t="s">
        <v>100</v>
      </c>
      <c r="F107" s="25" t="s">
        <v>101</v>
      </c>
      <c r="G107" s="23" t="n">
        <v>75</v>
      </c>
      <c r="H107" s="26"/>
      <c r="I107" s="27"/>
      <c r="J107" s="23"/>
      <c r="K107" s="23"/>
      <c r="L107" s="23" t="n">
        <v>6</v>
      </c>
      <c r="M107" s="28" t="n">
        <f aca="false">G107*L107</f>
        <v>450</v>
      </c>
      <c r="N107" s="25" t="s">
        <v>234</v>
      </c>
      <c r="O107" s="13"/>
      <c r="P107" s="13"/>
      <c r="Q107" s="14" t="str">
        <f aca="false">IF(P107="","",G107*P107)</f>
        <v/>
      </c>
      <c r="R107" s="13"/>
    </row>
    <row r="108" customFormat="false" ht="23.25" hidden="false" customHeight="true" outlineLevel="0" collapsed="false">
      <c r="A108" s="29" t="n">
        <v>14</v>
      </c>
      <c r="B108" s="29" t="s">
        <v>233</v>
      </c>
      <c r="C108" s="30" t="n">
        <v>46357</v>
      </c>
      <c r="D108" s="29" t="s">
        <v>103</v>
      </c>
      <c r="E108" s="29" t="s">
        <v>104</v>
      </c>
      <c r="F108" s="31" t="s">
        <v>105</v>
      </c>
      <c r="G108" s="29" t="n">
        <v>95</v>
      </c>
      <c r="H108" s="32"/>
      <c r="I108" s="33" t="n">
        <v>4400</v>
      </c>
      <c r="J108" s="29"/>
      <c r="K108" s="29"/>
      <c r="L108" s="29" t="n">
        <v>5</v>
      </c>
      <c r="M108" s="34" t="n">
        <f aca="false">G108*L108</f>
        <v>475</v>
      </c>
      <c r="N108" s="31" t="s">
        <v>235</v>
      </c>
      <c r="O108" s="13"/>
      <c r="P108" s="13"/>
      <c r="Q108" s="14" t="str">
        <f aca="false">IF(P108="","",G108*P108)</f>
        <v/>
      </c>
      <c r="R108" s="13"/>
    </row>
    <row r="109" customFormat="false" ht="23.25" hidden="false" customHeight="true" outlineLevel="0" collapsed="false">
      <c r="A109" s="35" t="n">
        <v>14</v>
      </c>
      <c r="B109" s="35" t="s">
        <v>233</v>
      </c>
      <c r="C109" s="36" t="n">
        <v>46357</v>
      </c>
      <c r="D109" s="35" t="s">
        <v>107</v>
      </c>
      <c r="E109" s="35" t="s">
        <v>108</v>
      </c>
      <c r="F109" s="37" t="s">
        <v>135</v>
      </c>
      <c r="G109" s="35" t="n">
        <v>45</v>
      </c>
      <c r="H109" s="38"/>
      <c r="I109" s="39"/>
      <c r="J109" s="35"/>
      <c r="K109" s="35"/>
      <c r="L109" s="35" t="n">
        <v>3</v>
      </c>
      <c r="M109" s="40" t="n">
        <f aca="false">G109*L109</f>
        <v>135</v>
      </c>
      <c r="N109" s="37" t="s">
        <v>136</v>
      </c>
      <c r="O109" s="13"/>
      <c r="P109" s="13"/>
      <c r="Q109" s="14" t="str">
        <f aca="false">IF(P109="","",G109*P109)</f>
        <v/>
      </c>
      <c r="R109" s="13"/>
    </row>
    <row r="110" customFormat="false" ht="23.25" hidden="false" customHeight="true" outlineLevel="0" collapsed="false">
      <c r="A110" s="7" t="n">
        <v>14</v>
      </c>
      <c r="B110" s="7" t="s">
        <v>233</v>
      </c>
      <c r="C110" s="8" t="n">
        <v>46358</v>
      </c>
      <c r="D110" s="7" t="s">
        <v>111</v>
      </c>
      <c r="E110" s="7" t="s">
        <v>90</v>
      </c>
      <c r="F110" s="9" t="s">
        <v>236</v>
      </c>
      <c r="G110" s="7" t="n">
        <v>73</v>
      </c>
      <c r="H110" s="10" t="n">
        <v>13</v>
      </c>
      <c r="I110" s="11"/>
      <c r="J110" s="7" t="s">
        <v>237</v>
      </c>
      <c r="K110" s="7" t="str">
        <f aca="false">"EF "&amp;TEXT((Allures!$C$15+75)/86400,"mm:ss")&amp;" · "&amp;"All. 10 km "&amp;TEXT((Allures!$C$15+0)/86400,"mm:ss")</f>
        <v>EF 05:24 · All. 10 km 04:09</v>
      </c>
      <c r="L110" s="7" t="n">
        <v>8</v>
      </c>
      <c r="M110" s="12" t="n">
        <f aca="false">G110*L110</f>
        <v>584</v>
      </c>
      <c r="N110" s="9" t="s">
        <v>238</v>
      </c>
      <c r="O110" s="13"/>
      <c r="P110" s="13"/>
      <c r="Q110" s="14" t="str">
        <f aca="false">IF(P110="","",G110*P110)</f>
        <v/>
      </c>
      <c r="R110" s="13"/>
    </row>
    <row r="111" customFormat="false" ht="23.25" hidden="false" customHeight="true" outlineLevel="0" collapsed="false">
      <c r="A111" s="23" t="n">
        <v>14</v>
      </c>
      <c r="B111" s="23" t="s">
        <v>233</v>
      </c>
      <c r="C111" s="24" t="n">
        <v>46359</v>
      </c>
      <c r="D111" s="23" t="s">
        <v>114</v>
      </c>
      <c r="E111" s="23" t="s">
        <v>100</v>
      </c>
      <c r="F111" s="25" t="s">
        <v>152</v>
      </c>
      <c r="G111" s="23" t="n">
        <v>60</v>
      </c>
      <c r="H111" s="26" t="n">
        <v>2</v>
      </c>
      <c r="I111" s="27"/>
      <c r="J111" s="23"/>
      <c r="K111" s="23"/>
      <c r="L111" s="23" t="n">
        <v>6</v>
      </c>
      <c r="M111" s="28" t="n">
        <f aca="false">G111*L111</f>
        <v>360</v>
      </c>
      <c r="N111" s="25" t="s">
        <v>239</v>
      </c>
      <c r="O111" s="13"/>
      <c r="P111" s="13"/>
      <c r="Q111" s="14" t="str">
        <f aca="false">IF(P111="","",G111*P111)</f>
        <v/>
      </c>
      <c r="R111" s="13"/>
    </row>
    <row r="112" customFormat="false" ht="15" hidden="false" customHeight="true" outlineLevel="0" collapsed="false">
      <c r="A112" s="29" t="n">
        <v>14</v>
      </c>
      <c r="B112" s="29" t="s">
        <v>233</v>
      </c>
      <c r="C112" s="30" t="n">
        <v>46360</v>
      </c>
      <c r="D112" s="29" t="s">
        <v>116</v>
      </c>
      <c r="E112" s="29" t="s">
        <v>104</v>
      </c>
      <c r="F112" s="31" t="s">
        <v>132</v>
      </c>
      <c r="G112" s="29" t="n">
        <v>75</v>
      </c>
      <c r="H112" s="32"/>
      <c r="I112" s="33" t="n">
        <v>3600</v>
      </c>
      <c r="J112" s="29"/>
      <c r="K112" s="29"/>
      <c r="L112" s="29" t="n">
        <v>4</v>
      </c>
      <c r="M112" s="34" t="n">
        <f aca="false">G112*L112</f>
        <v>300</v>
      </c>
      <c r="N112" s="31" t="s">
        <v>240</v>
      </c>
      <c r="O112" s="13"/>
      <c r="P112" s="13"/>
      <c r="Q112" s="14" t="str">
        <f aca="false">IF(P112="","",G112*P112)</f>
        <v/>
      </c>
      <c r="R112" s="13"/>
    </row>
    <row r="113" customFormat="false" ht="15" hidden="false" customHeight="true" outlineLevel="0" collapsed="false">
      <c r="A113" s="7" t="n">
        <v>14</v>
      </c>
      <c r="B113" s="7" t="s">
        <v>233</v>
      </c>
      <c r="C113" s="8" t="n">
        <v>46360</v>
      </c>
      <c r="D113" s="7" t="s">
        <v>116</v>
      </c>
      <c r="E113" s="7" t="s">
        <v>90</v>
      </c>
      <c r="F113" s="9" t="s">
        <v>178</v>
      </c>
      <c r="G113" s="7" t="n">
        <v>58</v>
      </c>
      <c r="H113" s="10" t="n">
        <v>10</v>
      </c>
      <c r="I113" s="11"/>
      <c r="J113" s="7" t="s">
        <v>179</v>
      </c>
      <c r="K113" s="7" t="str">
        <f aca="false">"Récup "&amp;TEXT((Allures!$C$15+95)/86400,"mm:ss")</f>
        <v>Récup 05:44</v>
      </c>
      <c r="L113" s="7" t="n">
        <v>3</v>
      </c>
      <c r="M113" s="12" t="n">
        <f aca="false">G113*L113</f>
        <v>174</v>
      </c>
      <c r="N113" s="9" t="s">
        <v>187</v>
      </c>
      <c r="O113" s="13"/>
      <c r="P113" s="13"/>
      <c r="Q113" s="14" t="str">
        <f aca="false">IF(P113="","",G113*P113)</f>
        <v/>
      </c>
      <c r="R113" s="13"/>
    </row>
    <row r="114" customFormat="false" ht="15" hidden="false" customHeight="true" outlineLevel="0" collapsed="false">
      <c r="A114" s="7" t="n">
        <v>14</v>
      </c>
      <c r="B114" s="7" t="s">
        <v>233</v>
      </c>
      <c r="C114" s="8" t="n">
        <v>46361</v>
      </c>
      <c r="D114" s="7" t="s">
        <v>89</v>
      </c>
      <c r="E114" s="7" t="s">
        <v>90</v>
      </c>
      <c r="F114" s="9" t="s">
        <v>137</v>
      </c>
      <c r="G114" s="7" t="n">
        <v>91</v>
      </c>
      <c r="H114" s="10" t="n">
        <v>16</v>
      </c>
      <c r="I114" s="11"/>
      <c r="J114" s="7" t="s">
        <v>241</v>
      </c>
      <c r="K114" s="7" t="str">
        <f aca="false">"EF "&amp;TEXT((Allures!$C$15+75)/86400,"mm:ss")&amp;" · "&amp;"All. marathon "&amp;TEXT((Allures!$C$15+30)/86400,"mm:ss")</f>
        <v>EF 05:24 · All. marathon 04:39</v>
      </c>
      <c r="L114" s="7" t="n">
        <v>5</v>
      </c>
      <c r="M114" s="12" t="n">
        <f aca="false">G114*L114</f>
        <v>455</v>
      </c>
      <c r="N114" s="9" t="s">
        <v>242</v>
      </c>
      <c r="O114" s="13"/>
      <c r="P114" s="13"/>
      <c r="Q114" s="14" t="str">
        <f aca="false">IF(P114="","",G114*P114)</f>
        <v/>
      </c>
      <c r="R114" s="13"/>
    </row>
    <row r="115" customFormat="false" ht="15" hidden="false" customHeight="true" outlineLevel="0" collapsed="false">
      <c r="A115" s="15" t="n">
        <v>14</v>
      </c>
      <c r="B115" s="15" t="s">
        <v>233</v>
      </c>
      <c r="C115" s="16" t="n">
        <v>46362</v>
      </c>
      <c r="D115" s="15" t="s">
        <v>94</v>
      </c>
      <c r="E115" s="15" t="s">
        <v>95</v>
      </c>
      <c r="F115" s="17" t="s">
        <v>96</v>
      </c>
      <c r="G115" s="15" t="n">
        <v>0</v>
      </c>
      <c r="H115" s="18"/>
      <c r="I115" s="19"/>
      <c r="J115" s="15"/>
      <c r="K115" s="15"/>
      <c r="L115" s="15" t="n">
        <v>0</v>
      </c>
      <c r="M115" s="20" t="n">
        <f aca="false">G115*L115</f>
        <v>0</v>
      </c>
      <c r="N115" s="17" t="s">
        <v>139</v>
      </c>
      <c r="O115" s="21"/>
      <c r="P115" s="21"/>
      <c r="Q115" s="22" t="str">
        <f aca="false">IF(P115="","",G115*P115)</f>
        <v/>
      </c>
      <c r="R115" s="21"/>
    </row>
    <row r="116" customFormat="false" ht="34.5" hidden="false" customHeight="true" outlineLevel="0" collapsed="false">
      <c r="A116" s="23" t="n">
        <v>15</v>
      </c>
      <c r="B116" s="23" t="s">
        <v>233</v>
      </c>
      <c r="C116" s="24" t="n">
        <v>46363</v>
      </c>
      <c r="D116" s="23" t="s">
        <v>99</v>
      </c>
      <c r="E116" s="23" t="s">
        <v>100</v>
      </c>
      <c r="F116" s="25" t="s">
        <v>101</v>
      </c>
      <c r="G116" s="23" t="n">
        <v>75</v>
      </c>
      <c r="H116" s="26"/>
      <c r="I116" s="27"/>
      <c r="J116" s="23"/>
      <c r="K116" s="23"/>
      <c r="L116" s="23" t="n">
        <v>6</v>
      </c>
      <c r="M116" s="28" t="n">
        <f aca="false">G116*L116</f>
        <v>450</v>
      </c>
      <c r="N116" s="25" t="s">
        <v>234</v>
      </c>
      <c r="O116" s="13"/>
      <c r="P116" s="13"/>
      <c r="Q116" s="14" t="str">
        <f aca="false">IF(P116="","",G116*P116)</f>
        <v/>
      </c>
      <c r="R116" s="13"/>
    </row>
    <row r="117" customFormat="false" ht="15" hidden="false" customHeight="true" outlineLevel="0" collapsed="false">
      <c r="A117" s="29" t="n">
        <v>15</v>
      </c>
      <c r="B117" s="29" t="s">
        <v>233</v>
      </c>
      <c r="C117" s="30" t="n">
        <v>46364</v>
      </c>
      <c r="D117" s="29" t="s">
        <v>141</v>
      </c>
      <c r="E117" s="29" t="s">
        <v>104</v>
      </c>
      <c r="F117" s="31" t="s">
        <v>105</v>
      </c>
      <c r="G117" s="29" t="n">
        <v>110</v>
      </c>
      <c r="H117" s="32"/>
      <c r="I117" s="33" t="n">
        <v>5000</v>
      </c>
      <c r="J117" s="29"/>
      <c r="K117" s="29"/>
      <c r="L117" s="29" t="n">
        <v>5</v>
      </c>
      <c r="M117" s="34" t="n">
        <f aca="false">G117*L117</f>
        <v>550</v>
      </c>
      <c r="N117" s="31" t="s">
        <v>243</v>
      </c>
      <c r="O117" s="13"/>
      <c r="P117" s="13"/>
      <c r="Q117" s="14" t="str">
        <f aca="false">IF(P117="","",G117*P117)</f>
        <v/>
      </c>
      <c r="R117" s="13"/>
    </row>
    <row r="118" customFormat="false" ht="23.25" hidden="false" customHeight="true" outlineLevel="0" collapsed="false">
      <c r="A118" s="7" t="n">
        <v>15</v>
      </c>
      <c r="B118" s="7" t="s">
        <v>233</v>
      </c>
      <c r="C118" s="8" t="n">
        <v>46365</v>
      </c>
      <c r="D118" s="7" t="s">
        <v>111</v>
      </c>
      <c r="E118" s="7" t="s">
        <v>90</v>
      </c>
      <c r="F118" s="9" t="s">
        <v>244</v>
      </c>
      <c r="G118" s="7" t="n">
        <v>73</v>
      </c>
      <c r="H118" s="10" t="n">
        <v>13</v>
      </c>
      <c r="I118" s="11"/>
      <c r="J118" s="7" t="s">
        <v>237</v>
      </c>
      <c r="K118" s="7" t="str">
        <f aca="false">"EF "&amp;TEXT((Allures!$C$15+75)/86400,"mm:ss")&amp;" · "&amp;"All. 10 km "&amp;TEXT((Allures!$C$15+0)/86400,"mm:ss")</f>
        <v>EF 05:24 · All. 10 km 04:09</v>
      </c>
      <c r="L118" s="7" t="n">
        <v>8</v>
      </c>
      <c r="M118" s="12" t="n">
        <f aca="false">G118*L118</f>
        <v>584</v>
      </c>
      <c r="N118" s="9" t="s">
        <v>245</v>
      </c>
      <c r="O118" s="13"/>
      <c r="P118" s="13"/>
      <c r="Q118" s="14" t="str">
        <f aca="false">IF(P118="","",G118*P118)</f>
        <v/>
      </c>
      <c r="R118" s="13"/>
    </row>
    <row r="119" customFormat="false" ht="15" hidden="false" customHeight="true" outlineLevel="0" collapsed="false">
      <c r="A119" s="23" t="n">
        <v>15</v>
      </c>
      <c r="B119" s="23" t="s">
        <v>233</v>
      </c>
      <c r="C119" s="24" t="n">
        <v>46366</v>
      </c>
      <c r="D119" s="23" t="s">
        <v>114</v>
      </c>
      <c r="E119" s="23" t="s">
        <v>100</v>
      </c>
      <c r="F119" s="25" t="s">
        <v>144</v>
      </c>
      <c r="G119" s="23" t="n">
        <v>45</v>
      </c>
      <c r="H119" s="26" t="n">
        <v>2</v>
      </c>
      <c r="I119" s="27"/>
      <c r="J119" s="23"/>
      <c r="K119" s="23"/>
      <c r="L119" s="23" t="n">
        <v>5</v>
      </c>
      <c r="M119" s="28" t="n">
        <f aca="false">G119*L119</f>
        <v>225</v>
      </c>
      <c r="N119" s="25" t="s">
        <v>145</v>
      </c>
      <c r="O119" s="13"/>
      <c r="P119" s="13"/>
      <c r="Q119" s="14" t="str">
        <f aca="false">IF(P119="","",G119*P119)</f>
        <v/>
      </c>
      <c r="R119" s="13"/>
    </row>
    <row r="120" customFormat="false" ht="15" hidden="false" customHeight="true" outlineLevel="0" collapsed="false">
      <c r="A120" s="29" t="n">
        <v>15</v>
      </c>
      <c r="B120" s="29" t="s">
        <v>233</v>
      </c>
      <c r="C120" s="30" t="n">
        <v>46367</v>
      </c>
      <c r="D120" s="29" t="s">
        <v>116</v>
      </c>
      <c r="E120" s="29" t="s">
        <v>104</v>
      </c>
      <c r="F120" s="31" t="s">
        <v>132</v>
      </c>
      <c r="G120" s="29" t="n">
        <v>85</v>
      </c>
      <c r="H120" s="32"/>
      <c r="I120" s="33" t="n">
        <v>4200</v>
      </c>
      <c r="J120" s="29"/>
      <c r="K120" s="29"/>
      <c r="L120" s="29" t="n">
        <v>4</v>
      </c>
      <c r="M120" s="34" t="n">
        <f aca="false">G120*L120</f>
        <v>340</v>
      </c>
      <c r="N120" s="31" t="s">
        <v>246</v>
      </c>
      <c r="O120" s="13"/>
      <c r="P120" s="13"/>
      <c r="Q120" s="14" t="str">
        <f aca="false">IF(P120="","",G120*P120)</f>
        <v/>
      </c>
      <c r="R120" s="13"/>
    </row>
    <row r="121" customFormat="false" ht="45.75" hidden="false" customHeight="true" outlineLevel="0" collapsed="false">
      <c r="A121" s="7" t="n">
        <v>15</v>
      </c>
      <c r="B121" s="7" t="s">
        <v>233</v>
      </c>
      <c r="C121" s="8" t="n">
        <v>46368</v>
      </c>
      <c r="D121" s="7" t="s">
        <v>89</v>
      </c>
      <c r="E121" s="7" t="s">
        <v>90</v>
      </c>
      <c r="F121" s="9" t="s">
        <v>247</v>
      </c>
      <c r="G121" s="7" t="n">
        <v>320</v>
      </c>
      <c r="H121" s="10" t="n">
        <v>41</v>
      </c>
      <c r="I121" s="11"/>
      <c r="J121" s="7" t="s">
        <v>92</v>
      </c>
      <c r="K121" s="7" t="str">
        <f aca="false">"À l'effort, pas à l'allure — marche en côte assumée"</f>
        <v>À l'effort, pas à l'allure — marche en côte assumée</v>
      </c>
      <c r="L121" s="7" t="n">
        <v>7</v>
      </c>
      <c r="M121" s="12" t="n">
        <f aca="false">G121*L121</f>
        <v>2240</v>
      </c>
      <c r="N121" s="9" t="s">
        <v>248</v>
      </c>
      <c r="O121" s="13"/>
      <c r="P121" s="13"/>
      <c r="Q121" s="14" t="str">
        <f aca="false">IF(P121="","",G121*P121)</f>
        <v/>
      </c>
      <c r="R121" s="13"/>
    </row>
    <row r="122" customFormat="false" ht="15" hidden="false" customHeight="true" outlineLevel="0" collapsed="false">
      <c r="A122" s="15" t="n">
        <v>15</v>
      </c>
      <c r="B122" s="15" t="s">
        <v>233</v>
      </c>
      <c r="C122" s="16" t="n">
        <v>46369</v>
      </c>
      <c r="D122" s="15" t="s">
        <v>94</v>
      </c>
      <c r="E122" s="15" t="s">
        <v>95</v>
      </c>
      <c r="F122" s="17" t="s">
        <v>96</v>
      </c>
      <c r="G122" s="15" t="n">
        <v>0</v>
      </c>
      <c r="H122" s="18"/>
      <c r="I122" s="19"/>
      <c r="J122" s="15"/>
      <c r="K122" s="15"/>
      <c r="L122" s="15" t="n">
        <v>0</v>
      </c>
      <c r="M122" s="20" t="n">
        <f aca="false">G122*L122</f>
        <v>0</v>
      </c>
      <c r="N122" s="17" t="s">
        <v>149</v>
      </c>
      <c r="O122" s="21"/>
      <c r="P122" s="21"/>
      <c r="Q122" s="22" t="str">
        <f aca="false">IF(P122="","",G122*P122)</f>
        <v/>
      </c>
      <c r="R122" s="21"/>
    </row>
    <row r="123" customFormat="false" ht="34.5" hidden="false" customHeight="true" outlineLevel="0" collapsed="false">
      <c r="A123" s="23" t="n">
        <v>16</v>
      </c>
      <c r="B123" s="23" t="s">
        <v>233</v>
      </c>
      <c r="C123" s="24" t="n">
        <v>46370</v>
      </c>
      <c r="D123" s="23" t="s">
        <v>99</v>
      </c>
      <c r="E123" s="23" t="s">
        <v>100</v>
      </c>
      <c r="F123" s="25" t="s">
        <v>101</v>
      </c>
      <c r="G123" s="23" t="n">
        <v>75</v>
      </c>
      <c r="H123" s="26"/>
      <c r="I123" s="27"/>
      <c r="J123" s="23"/>
      <c r="K123" s="23"/>
      <c r="L123" s="23" t="n">
        <v>6</v>
      </c>
      <c r="M123" s="28" t="n">
        <f aca="false">G123*L123</f>
        <v>450</v>
      </c>
      <c r="N123" s="25" t="s">
        <v>234</v>
      </c>
      <c r="O123" s="13"/>
      <c r="P123" s="13"/>
      <c r="Q123" s="14" t="str">
        <f aca="false">IF(P123="","",G123*P123)</f>
        <v/>
      </c>
      <c r="R123" s="13"/>
    </row>
    <row r="124" customFormat="false" ht="23.25" hidden="false" customHeight="true" outlineLevel="0" collapsed="false">
      <c r="A124" s="29" t="n">
        <v>16</v>
      </c>
      <c r="B124" s="29" t="s">
        <v>233</v>
      </c>
      <c r="C124" s="30" t="n">
        <v>46371</v>
      </c>
      <c r="D124" s="29" t="s">
        <v>103</v>
      </c>
      <c r="E124" s="29" t="s">
        <v>104</v>
      </c>
      <c r="F124" s="31" t="s">
        <v>105</v>
      </c>
      <c r="G124" s="29" t="n">
        <v>120</v>
      </c>
      <c r="H124" s="32"/>
      <c r="I124" s="33" t="n">
        <v>5600</v>
      </c>
      <c r="J124" s="29"/>
      <c r="K124" s="29"/>
      <c r="L124" s="29" t="n">
        <v>5</v>
      </c>
      <c r="M124" s="34" t="n">
        <f aca="false">G124*L124</f>
        <v>600</v>
      </c>
      <c r="N124" s="31" t="s">
        <v>249</v>
      </c>
      <c r="O124" s="13"/>
      <c r="P124" s="13"/>
      <c r="Q124" s="14" t="str">
        <f aca="false">IF(P124="","",G124*P124)</f>
        <v/>
      </c>
      <c r="R124" s="13"/>
    </row>
    <row r="125" customFormat="false" ht="23.25" hidden="false" customHeight="true" outlineLevel="0" collapsed="false">
      <c r="A125" s="35" t="n">
        <v>16</v>
      </c>
      <c r="B125" s="35" t="s">
        <v>233</v>
      </c>
      <c r="C125" s="36" t="n">
        <v>46371</v>
      </c>
      <c r="D125" s="35" t="s">
        <v>107</v>
      </c>
      <c r="E125" s="35" t="s">
        <v>108</v>
      </c>
      <c r="F125" s="37" t="s">
        <v>135</v>
      </c>
      <c r="G125" s="35" t="n">
        <v>45</v>
      </c>
      <c r="H125" s="38"/>
      <c r="I125" s="39"/>
      <c r="J125" s="35"/>
      <c r="K125" s="35"/>
      <c r="L125" s="35" t="n">
        <v>3</v>
      </c>
      <c r="M125" s="40" t="n">
        <f aca="false">G125*L125</f>
        <v>135</v>
      </c>
      <c r="N125" s="37" t="s">
        <v>136</v>
      </c>
      <c r="O125" s="13"/>
      <c r="P125" s="13"/>
      <c r="Q125" s="14" t="str">
        <f aca="false">IF(P125="","",G125*P125)</f>
        <v/>
      </c>
      <c r="R125" s="13"/>
    </row>
    <row r="126" customFormat="false" ht="23.25" hidden="false" customHeight="true" outlineLevel="0" collapsed="false">
      <c r="A126" s="7" t="n">
        <v>16</v>
      </c>
      <c r="B126" s="7" t="s">
        <v>233</v>
      </c>
      <c r="C126" s="8" t="n">
        <v>46372</v>
      </c>
      <c r="D126" s="7" t="s">
        <v>111</v>
      </c>
      <c r="E126" s="7" t="s">
        <v>90</v>
      </c>
      <c r="F126" s="9" t="s">
        <v>250</v>
      </c>
      <c r="G126" s="7" t="n">
        <v>79</v>
      </c>
      <c r="H126" s="10" t="n">
        <v>14</v>
      </c>
      <c r="I126" s="11"/>
      <c r="J126" s="7" t="s">
        <v>237</v>
      </c>
      <c r="K126" s="7" t="str">
        <f aca="false">"EF "&amp;TEXT((Allures!$C$15+75)/86400,"mm:ss")&amp;" · "&amp;"All. 10 km "&amp;TEXT((Allures!$C$15+0)/86400,"mm:ss")</f>
        <v>EF 05:24 · All. 10 km 04:09</v>
      </c>
      <c r="L126" s="7" t="n">
        <v>8</v>
      </c>
      <c r="M126" s="12" t="n">
        <f aca="false">G126*L126</f>
        <v>632</v>
      </c>
      <c r="N126" s="9" t="s">
        <v>251</v>
      </c>
      <c r="O126" s="13"/>
      <c r="P126" s="13"/>
      <c r="Q126" s="14" t="str">
        <f aca="false">IF(P126="","",G126*P126)</f>
        <v/>
      </c>
      <c r="R126" s="13"/>
    </row>
    <row r="127" customFormat="false" ht="23.25" hidden="false" customHeight="true" outlineLevel="0" collapsed="false">
      <c r="A127" s="23" t="n">
        <v>16</v>
      </c>
      <c r="B127" s="23" t="s">
        <v>233</v>
      </c>
      <c r="C127" s="24" t="n">
        <v>46373</v>
      </c>
      <c r="D127" s="23" t="s">
        <v>114</v>
      </c>
      <c r="E127" s="23" t="s">
        <v>100</v>
      </c>
      <c r="F127" s="25" t="s">
        <v>152</v>
      </c>
      <c r="G127" s="23" t="n">
        <v>60</v>
      </c>
      <c r="H127" s="26" t="n">
        <v>2</v>
      </c>
      <c r="I127" s="27"/>
      <c r="J127" s="23"/>
      <c r="K127" s="23"/>
      <c r="L127" s="23" t="n">
        <v>6</v>
      </c>
      <c r="M127" s="28" t="n">
        <f aca="false">G127*L127</f>
        <v>360</v>
      </c>
      <c r="N127" s="25" t="s">
        <v>239</v>
      </c>
      <c r="O127" s="13"/>
      <c r="P127" s="13"/>
      <c r="Q127" s="14" t="str">
        <f aca="false">IF(P127="","",G127*P127)</f>
        <v/>
      </c>
      <c r="R127" s="13"/>
    </row>
    <row r="128" customFormat="false" ht="15" hidden="false" customHeight="true" outlineLevel="0" collapsed="false">
      <c r="A128" s="29" t="n">
        <v>16</v>
      </c>
      <c r="B128" s="29" t="s">
        <v>233</v>
      </c>
      <c r="C128" s="30" t="n">
        <v>46374</v>
      </c>
      <c r="D128" s="29" t="s">
        <v>116</v>
      </c>
      <c r="E128" s="29" t="s">
        <v>104</v>
      </c>
      <c r="F128" s="31" t="s">
        <v>132</v>
      </c>
      <c r="G128" s="29" t="n">
        <v>95</v>
      </c>
      <c r="H128" s="32"/>
      <c r="I128" s="33" t="n">
        <v>4600</v>
      </c>
      <c r="J128" s="29"/>
      <c r="K128" s="29"/>
      <c r="L128" s="29" t="n">
        <v>4</v>
      </c>
      <c r="M128" s="34" t="n">
        <f aca="false">G128*L128</f>
        <v>380</v>
      </c>
      <c r="N128" s="31" t="s">
        <v>252</v>
      </c>
      <c r="O128" s="13"/>
      <c r="P128" s="13"/>
      <c r="Q128" s="14" t="str">
        <f aca="false">IF(P128="","",G128*P128)</f>
        <v/>
      </c>
      <c r="R128" s="13"/>
    </row>
    <row r="129" customFormat="false" ht="15" hidden="false" customHeight="true" outlineLevel="0" collapsed="false">
      <c r="A129" s="7" t="n">
        <v>16</v>
      </c>
      <c r="B129" s="7" t="s">
        <v>233</v>
      </c>
      <c r="C129" s="8" t="n">
        <v>46374</v>
      </c>
      <c r="D129" s="7" t="s">
        <v>116</v>
      </c>
      <c r="E129" s="7" t="s">
        <v>90</v>
      </c>
      <c r="F129" s="9" t="s">
        <v>178</v>
      </c>
      <c r="G129" s="7" t="n">
        <v>58</v>
      </c>
      <c r="H129" s="10" t="n">
        <v>10</v>
      </c>
      <c r="I129" s="11"/>
      <c r="J129" s="7" t="s">
        <v>179</v>
      </c>
      <c r="K129" s="7" t="str">
        <f aca="false">"Récup "&amp;TEXT((Allures!$C$15+95)/86400,"mm:ss")</f>
        <v>Récup 05:44</v>
      </c>
      <c r="L129" s="7" t="n">
        <v>3</v>
      </c>
      <c r="M129" s="12" t="n">
        <f aca="false">G129*L129</f>
        <v>174</v>
      </c>
      <c r="N129" s="9" t="s">
        <v>187</v>
      </c>
      <c r="O129" s="13"/>
      <c r="P129" s="13"/>
      <c r="Q129" s="14" t="str">
        <f aca="false">IF(P129="","",G129*P129)</f>
        <v/>
      </c>
      <c r="R129" s="13"/>
    </row>
    <row r="130" customFormat="false" ht="15" hidden="false" customHeight="true" outlineLevel="0" collapsed="false">
      <c r="A130" s="7" t="n">
        <v>16</v>
      </c>
      <c r="B130" s="7" t="s">
        <v>233</v>
      </c>
      <c r="C130" s="8" t="n">
        <v>46375</v>
      </c>
      <c r="D130" s="7" t="s">
        <v>89</v>
      </c>
      <c r="E130" s="7" t="s">
        <v>90</v>
      </c>
      <c r="F130" s="9" t="s">
        <v>137</v>
      </c>
      <c r="G130" s="7" t="n">
        <v>102</v>
      </c>
      <c r="H130" s="10" t="n">
        <v>18</v>
      </c>
      <c r="I130" s="11"/>
      <c r="J130" s="7" t="s">
        <v>241</v>
      </c>
      <c r="K130" s="7" t="str">
        <f aca="false">"EF "&amp;TEXT((Allures!$C$15+75)/86400,"mm:ss")&amp;" · "&amp;"All. marathon "&amp;TEXT((Allures!$C$15+30)/86400,"mm:ss")</f>
        <v>EF 05:24 · All. marathon 04:39</v>
      </c>
      <c r="L130" s="7" t="n">
        <v>5</v>
      </c>
      <c r="M130" s="12" t="n">
        <f aca="false">G130*L130</f>
        <v>510</v>
      </c>
      <c r="N130" s="9" t="s">
        <v>253</v>
      </c>
      <c r="O130" s="13"/>
      <c r="P130" s="13"/>
      <c r="Q130" s="14" t="str">
        <f aca="false">IF(P130="","",G130*P130)</f>
        <v/>
      </c>
      <c r="R130" s="13"/>
    </row>
    <row r="131" customFormat="false" ht="15" hidden="false" customHeight="true" outlineLevel="0" collapsed="false">
      <c r="A131" s="15" t="n">
        <v>16</v>
      </c>
      <c r="B131" s="15" t="s">
        <v>233</v>
      </c>
      <c r="C131" s="16" t="n">
        <v>46376</v>
      </c>
      <c r="D131" s="15" t="s">
        <v>94</v>
      </c>
      <c r="E131" s="15" t="s">
        <v>95</v>
      </c>
      <c r="F131" s="17" t="s">
        <v>96</v>
      </c>
      <c r="G131" s="15" t="n">
        <v>0</v>
      </c>
      <c r="H131" s="18"/>
      <c r="I131" s="19"/>
      <c r="J131" s="15"/>
      <c r="K131" s="15"/>
      <c r="L131" s="15" t="n">
        <v>0</v>
      </c>
      <c r="M131" s="20" t="n">
        <f aca="false">G131*L131</f>
        <v>0</v>
      </c>
      <c r="N131" s="17" t="s">
        <v>139</v>
      </c>
      <c r="O131" s="21"/>
      <c r="P131" s="21"/>
      <c r="Q131" s="22" t="str">
        <f aca="false">IF(P131="","",G131*P131)</f>
        <v/>
      </c>
      <c r="R131" s="21"/>
    </row>
    <row r="132" customFormat="false" ht="34.5" hidden="false" customHeight="true" outlineLevel="0" collapsed="false">
      <c r="A132" s="23" t="n">
        <v>17</v>
      </c>
      <c r="B132" s="23" t="s">
        <v>233</v>
      </c>
      <c r="C132" s="24" t="n">
        <v>46377</v>
      </c>
      <c r="D132" s="23" t="s">
        <v>99</v>
      </c>
      <c r="E132" s="23" t="s">
        <v>100</v>
      </c>
      <c r="F132" s="25" t="s">
        <v>101</v>
      </c>
      <c r="G132" s="23" t="n">
        <v>75</v>
      </c>
      <c r="H132" s="26"/>
      <c r="I132" s="27"/>
      <c r="J132" s="23"/>
      <c r="K132" s="23"/>
      <c r="L132" s="23" t="n">
        <v>6</v>
      </c>
      <c r="M132" s="28" t="n">
        <f aca="false">G132*L132</f>
        <v>450</v>
      </c>
      <c r="N132" s="25" t="s">
        <v>234</v>
      </c>
      <c r="O132" s="13"/>
      <c r="P132" s="13"/>
      <c r="Q132" s="14" t="str">
        <f aca="false">IF(P132="","",G132*P132)</f>
        <v/>
      </c>
      <c r="R132" s="13"/>
    </row>
    <row r="133" customFormat="false" ht="23.25" hidden="false" customHeight="true" outlineLevel="0" collapsed="false">
      <c r="A133" s="29" t="n">
        <v>17</v>
      </c>
      <c r="B133" s="29" t="s">
        <v>233</v>
      </c>
      <c r="C133" s="30" t="n">
        <v>46378</v>
      </c>
      <c r="D133" s="29" t="s">
        <v>103</v>
      </c>
      <c r="E133" s="29" t="s">
        <v>104</v>
      </c>
      <c r="F133" s="31" t="s">
        <v>105</v>
      </c>
      <c r="G133" s="29" t="n">
        <v>125</v>
      </c>
      <c r="H133" s="32"/>
      <c r="I133" s="33" t="n">
        <v>6000</v>
      </c>
      <c r="J133" s="29"/>
      <c r="K133" s="29"/>
      <c r="L133" s="29" t="n">
        <v>5</v>
      </c>
      <c r="M133" s="34" t="n">
        <f aca="false">G133*L133</f>
        <v>625</v>
      </c>
      <c r="N133" s="31" t="s">
        <v>254</v>
      </c>
      <c r="O133" s="13"/>
      <c r="P133" s="13"/>
      <c r="Q133" s="14" t="str">
        <f aca="false">IF(P133="","",G133*P133)</f>
        <v/>
      </c>
      <c r="R133" s="13"/>
    </row>
    <row r="134" customFormat="false" ht="23.25" hidden="false" customHeight="true" outlineLevel="0" collapsed="false">
      <c r="A134" s="35" t="n">
        <v>17</v>
      </c>
      <c r="B134" s="35" t="s">
        <v>233</v>
      </c>
      <c r="C134" s="36" t="n">
        <v>46378</v>
      </c>
      <c r="D134" s="35" t="s">
        <v>107</v>
      </c>
      <c r="E134" s="35" t="s">
        <v>108</v>
      </c>
      <c r="F134" s="37" t="s">
        <v>135</v>
      </c>
      <c r="G134" s="35" t="n">
        <v>45</v>
      </c>
      <c r="H134" s="38"/>
      <c r="I134" s="39"/>
      <c r="J134" s="35"/>
      <c r="K134" s="35"/>
      <c r="L134" s="35" t="n">
        <v>3</v>
      </c>
      <c r="M134" s="40" t="n">
        <f aca="false">G134*L134</f>
        <v>135</v>
      </c>
      <c r="N134" s="37" t="s">
        <v>136</v>
      </c>
      <c r="O134" s="13"/>
      <c r="P134" s="13"/>
      <c r="Q134" s="14" t="str">
        <f aca="false">IF(P134="","",G134*P134)</f>
        <v/>
      </c>
      <c r="R134" s="13"/>
    </row>
    <row r="135" customFormat="false" ht="23.25" hidden="false" customHeight="true" outlineLevel="0" collapsed="false">
      <c r="A135" s="7" t="n">
        <v>17</v>
      </c>
      <c r="B135" s="7" t="s">
        <v>233</v>
      </c>
      <c r="C135" s="8" t="n">
        <v>46379</v>
      </c>
      <c r="D135" s="7" t="s">
        <v>111</v>
      </c>
      <c r="E135" s="7" t="s">
        <v>90</v>
      </c>
      <c r="F135" s="9" t="s">
        <v>255</v>
      </c>
      <c r="G135" s="7" t="n">
        <v>79</v>
      </c>
      <c r="H135" s="10" t="n">
        <v>14</v>
      </c>
      <c r="I135" s="11"/>
      <c r="J135" s="7" t="s">
        <v>237</v>
      </c>
      <c r="K135" s="7" t="str">
        <f aca="false">"EF "&amp;TEXT((Allures!$C$15+75)/86400,"mm:ss")&amp;" · "&amp;"All. 10 km "&amp;TEXT((Allures!$C$15+0)/86400,"mm:ss")</f>
        <v>EF 05:24 · All. 10 km 04:09</v>
      </c>
      <c r="L135" s="7" t="n">
        <v>8</v>
      </c>
      <c r="M135" s="12" t="n">
        <f aca="false">G135*L135</f>
        <v>632</v>
      </c>
      <c r="N135" s="9" t="s">
        <v>256</v>
      </c>
      <c r="O135" s="13"/>
      <c r="P135" s="13"/>
      <c r="Q135" s="14" t="str">
        <f aca="false">IF(P135="","",G135*P135)</f>
        <v/>
      </c>
      <c r="R135" s="13"/>
    </row>
    <row r="136" customFormat="false" ht="23.25" hidden="false" customHeight="true" outlineLevel="0" collapsed="false">
      <c r="A136" s="23" t="n">
        <v>17</v>
      </c>
      <c r="B136" s="23" t="s">
        <v>233</v>
      </c>
      <c r="C136" s="24" t="n">
        <v>46380</v>
      </c>
      <c r="D136" s="23" t="s">
        <v>114</v>
      </c>
      <c r="E136" s="23" t="s">
        <v>100</v>
      </c>
      <c r="F136" s="25" t="s">
        <v>152</v>
      </c>
      <c r="G136" s="23" t="n">
        <v>60</v>
      </c>
      <c r="H136" s="26" t="n">
        <v>2</v>
      </c>
      <c r="I136" s="27"/>
      <c r="J136" s="23"/>
      <c r="K136" s="23"/>
      <c r="L136" s="23" t="n">
        <v>6</v>
      </c>
      <c r="M136" s="28" t="n">
        <f aca="false">G136*L136</f>
        <v>360</v>
      </c>
      <c r="N136" s="25" t="s">
        <v>239</v>
      </c>
      <c r="O136" s="13"/>
      <c r="P136" s="13"/>
      <c r="Q136" s="14" t="str">
        <f aca="false">IF(P136="","",G136*P136)</f>
        <v/>
      </c>
      <c r="R136" s="13"/>
    </row>
    <row r="137" customFormat="false" ht="15" hidden="false" customHeight="true" outlineLevel="0" collapsed="false">
      <c r="A137" s="29" t="n">
        <v>17</v>
      </c>
      <c r="B137" s="29" t="s">
        <v>233</v>
      </c>
      <c r="C137" s="30" t="n">
        <v>46381</v>
      </c>
      <c r="D137" s="29" t="s">
        <v>116</v>
      </c>
      <c r="E137" s="29" t="s">
        <v>104</v>
      </c>
      <c r="F137" s="31" t="s">
        <v>132</v>
      </c>
      <c r="G137" s="29" t="n">
        <v>105</v>
      </c>
      <c r="H137" s="32"/>
      <c r="I137" s="33" t="n">
        <v>5000</v>
      </c>
      <c r="J137" s="29"/>
      <c r="K137" s="29"/>
      <c r="L137" s="29" t="n">
        <v>4</v>
      </c>
      <c r="M137" s="34" t="n">
        <f aca="false">G137*L137</f>
        <v>420</v>
      </c>
      <c r="N137" s="31" t="s">
        <v>257</v>
      </c>
      <c r="O137" s="13"/>
      <c r="P137" s="13"/>
      <c r="Q137" s="14" t="str">
        <f aca="false">IF(P137="","",G137*P137)</f>
        <v/>
      </c>
      <c r="R137" s="13"/>
    </row>
    <row r="138" customFormat="false" ht="15" hidden="false" customHeight="true" outlineLevel="0" collapsed="false">
      <c r="A138" s="7" t="n">
        <v>17</v>
      </c>
      <c r="B138" s="7" t="s">
        <v>233</v>
      </c>
      <c r="C138" s="8" t="n">
        <v>46381</v>
      </c>
      <c r="D138" s="7" t="s">
        <v>116</v>
      </c>
      <c r="E138" s="7" t="s">
        <v>90</v>
      </c>
      <c r="F138" s="9" t="s">
        <v>178</v>
      </c>
      <c r="G138" s="7" t="n">
        <v>58</v>
      </c>
      <c r="H138" s="10" t="n">
        <v>10</v>
      </c>
      <c r="I138" s="11"/>
      <c r="J138" s="7" t="s">
        <v>179</v>
      </c>
      <c r="K138" s="7" t="str">
        <f aca="false">"Récup "&amp;TEXT((Allures!$C$15+95)/86400,"mm:ss")</f>
        <v>Récup 05:44</v>
      </c>
      <c r="L138" s="7" t="n">
        <v>3</v>
      </c>
      <c r="M138" s="12" t="n">
        <f aca="false">G138*L138</f>
        <v>174</v>
      </c>
      <c r="N138" s="9" t="s">
        <v>187</v>
      </c>
      <c r="O138" s="13"/>
      <c r="P138" s="13"/>
      <c r="Q138" s="14" t="str">
        <f aca="false">IF(P138="","",G138*P138)</f>
        <v/>
      </c>
      <c r="R138" s="13"/>
    </row>
    <row r="139" customFormat="false" ht="15" hidden="false" customHeight="true" outlineLevel="0" collapsed="false">
      <c r="A139" s="7" t="n">
        <v>17</v>
      </c>
      <c r="B139" s="7" t="s">
        <v>233</v>
      </c>
      <c r="C139" s="8" t="n">
        <v>46382</v>
      </c>
      <c r="D139" s="7" t="s">
        <v>89</v>
      </c>
      <c r="E139" s="7" t="s">
        <v>90</v>
      </c>
      <c r="F139" s="9" t="s">
        <v>137</v>
      </c>
      <c r="G139" s="7" t="n">
        <v>108</v>
      </c>
      <c r="H139" s="10" t="n">
        <v>19</v>
      </c>
      <c r="I139" s="11"/>
      <c r="J139" s="7" t="s">
        <v>241</v>
      </c>
      <c r="K139" s="7" t="str">
        <f aca="false">"EF "&amp;TEXT((Allures!$C$15+75)/86400,"mm:ss")&amp;" · "&amp;"All. marathon "&amp;TEXT((Allures!$C$15+30)/86400,"mm:ss")</f>
        <v>EF 05:24 · All. marathon 04:39</v>
      </c>
      <c r="L139" s="7" t="n">
        <v>5</v>
      </c>
      <c r="M139" s="12" t="n">
        <f aca="false">G139*L139</f>
        <v>540</v>
      </c>
      <c r="N139" s="9" t="s">
        <v>258</v>
      </c>
      <c r="O139" s="13"/>
      <c r="P139" s="13"/>
      <c r="Q139" s="14" t="str">
        <f aca="false">IF(P139="","",G139*P139)</f>
        <v/>
      </c>
      <c r="R139" s="13"/>
    </row>
    <row r="140" customFormat="false" ht="15" hidden="false" customHeight="true" outlineLevel="0" collapsed="false">
      <c r="A140" s="15" t="n">
        <v>17</v>
      </c>
      <c r="B140" s="15" t="s">
        <v>233</v>
      </c>
      <c r="C140" s="16" t="n">
        <v>46383</v>
      </c>
      <c r="D140" s="15" t="s">
        <v>94</v>
      </c>
      <c r="E140" s="15" t="s">
        <v>95</v>
      </c>
      <c r="F140" s="17" t="s">
        <v>96</v>
      </c>
      <c r="G140" s="15" t="n">
        <v>0</v>
      </c>
      <c r="H140" s="18"/>
      <c r="I140" s="19"/>
      <c r="J140" s="15"/>
      <c r="K140" s="15"/>
      <c r="L140" s="15" t="n">
        <v>0</v>
      </c>
      <c r="M140" s="20" t="n">
        <f aca="false">G140*L140</f>
        <v>0</v>
      </c>
      <c r="N140" s="17" t="s">
        <v>139</v>
      </c>
      <c r="O140" s="21"/>
      <c r="P140" s="21"/>
      <c r="Q140" s="22" t="str">
        <f aca="false">IF(P140="","",G140*P140)</f>
        <v/>
      </c>
      <c r="R140" s="21"/>
    </row>
    <row r="141" customFormat="false" ht="34.5" hidden="false" customHeight="true" outlineLevel="0" collapsed="false">
      <c r="A141" s="23" t="n">
        <v>18</v>
      </c>
      <c r="B141" s="23" t="s">
        <v>259</v>
      </c>
      <c r="C141" s="24" t="n">
        <v>46384</v>
      </c>
      <c r="D141" s="23" t="s">
        <v>99</v>
      </c>
      <c r="E141" s="23" t="s">
        <v>100</v>
      </c>
      <c r="F141" s="25" t="s">
        <v>101</v>
      </c>
      <c r="G141" s="23" t="n">
        <v>75</v>
      </c>
      <c r="H141" s="26"/>
      <c r="I141" s="27"/>
      <c r="J141" s="23"/>
      <c r="K141" s="23"/>
      <c r="L141" s="23" t="n">
        <v>6</v>
      </c>
      <c r="M141" s="28" t="n">
        <f aca="false">G141*L141</f>
        <v>450</v>
      </c>
      <c r="N141" s="25" t="s">
        <v>234</v>
      </c>
      <c r="O141" s="13"/>
      <c r="P141" s="13"/>
      <c r="Q141" s="14" t="str">
        <f aca="false">IF(P141="","",G141*P141)</f>
        <v/>
      </c>
      <c r="R141" s="13"/>
    </row>
    <row r="142" customFormat="false" ht="15" hidden="false" customHeight="true" outlineLevel="0" collapsed="false">
      <c r="A142" s="29" t="n">
        <v>18</v>
      </c>
      <c r="B142" s="29" t="s">
        <v>259</v>
      </c>
      <c r="C142" s="30" t="n">
        <v>46385</v>
      </c>
      <c r="D142" s="29" t="s">
        <v>103</v>
      </c>
      <c r="E142" s="29" t="s">
        <v>104</v>
      </c>
      <c r="F142" s="31" t="s">
        <v>105</v>
      </c>
      <c r="G142" s="29" t="n">
        <v>110</v>
      </c>
      <c r="H142" s="32"/>
      <c r="I142" s="33" t="n">
        <v>5000</v>
      </c>
      <c r="J142" s="29"/>
      <c r="K142" s="29"/>
      <c r="L142" s="29" t="n">
        <v>5</v>
      </c>
      <c r="M142" s="34" t="n">
        <f aca="false">G142*L142</f>
        <v>550</v>
      </c>
      <c r="N142" s="31" t="s">
        <v>243</v>
      </c>
      <c r="O142" s="13"/>
      <c r="P142" s="13"/>
      <c r="Q142" s="14" t="str">
        <f aca="false">IF(P142="","",G142*P142)</f>
        <v/>
      </c>
      <c r="R142" s="13"/>
    </row>
    <row r="143" customFormat="false" ht="23.25" hidden="false" customHeight="true" outlineLevel="0" collapsed="false">
      <c r="A143" s="35" t="n">
        <v>18</v>
      </c>
      <c r="B143" s="35" t="s">
        <v>259</v>
      </c>
      <c r="C143" s="36" t="n">
        <v>46385</v>
      </c>
      <c r="D143" s="35" t="s">
        <v>107</v>
      </c>
      <c r="E143" s="35" t="s">
        <v>108</v>
      </c>
      <c r="F143" s="37" t="s">
        <v>135</v>
      </c>
      <c r="G143" s="35" t="n">
        <v>45</v>
      </c>
      <c r="H143" s="38"/>
      <c r="I143" s="39"/>
      <c r="J143" s="35"/>
      <c r="K143" s="35"/>
      <c r="L143" s="35" t="n">
        <v>3</v>
      </c>
      <c r="M143" s="40" t="n">
        <f aca="false">G143*L143</f>
        <v>135</v>
      </c>
      <c r="N143" s="37" t="s">
        <v>136</v>
      </c>
      <c r="O143" s="13"/>
      <c r="P143" s="13"/>
      <c r="Q143" s="14" t="str">
        <f aca="false">IF(P143="","",G143*P143)</f>
        <v/>
      </c>
      <c r="R143" s="13"/>
    </row>
    <row r="144" customFormat="false" ht="34.5" hidden="false" customHeight="true" outlineLevel="0" collapsed="false">
      <c r="A144" s="7" t="n">
        <v>18</v>
      </c>
      <c r="B144" s="7" t="s">
        <v>259</v>
      </c>
      <c r="C144" s="8" t="n">
        <v>46386</v>
      </c>
      <c r="D144" s="7" t="s">
        <v>111</v>
      </c>
      <c r="E144" s="7" t="s">
        <v>90</v>
      </c>
      <c r="F144" s="9" t="s">
        <v>260</v>
      </c>
      <c r="G144" s="7" t="n">
        <v>68</v>
      </c>
      <c r="H144" s="10" t="n">
        <v>12</v>
      </c>
      <c r="I144" s="11"/>
      <c r="J144" s="7" t="s">
        <v>174</v>
      </c>
      <c r="K144" s="7" t="str">
        <f aca="false">"EF "&amp;TEXT((Allures!$C$15+75)/86400,"mm:ss")&amp;" · "&amp;"Seuil "&amp;TEXT((Allures!$C$15+10)/86400,"mm:ss")</f>
        <v>EF 05:24 · Seuil 04:19</v>
      </c>
      <c r="L144" s="7" t="n">
        <v>7</v>
      </c>
      <c r="M144" s="12" t="n">
        <f aca="false">G144*L144</f>
        <v>476</v>
      </c>
      <c r="N144" s="9" t="s">
        <v>261</v>
      </c>
      <c r="O144" s="13"/>
      <c r="P144" s="13"/>
      <c r="Q144" s="14" t="str">
        <f aca="false">IF(P144="","",G144*P144)</f>
        <v/>
      </c>
      <c r="R144" s="13"/>
    </row>
    <row r="145" customFormat="false" ht="23.25" hidden="false" customHeight="true" outlineLevel="0" collapsed="false">
      <c r="A145" s="23" t="n">
        <v>18</v>
      </c>
      <c r="B145" s="23" t="s">
        <v>259</v>
      </c>
      <c r="C145" s="24" t="n">
        <v>46387</v>
      </c>
      <c r="D145" s="23" t="s">
        <v>114</v>
      </c>
      <c r="E145" s="23" t="s">
        <v>100</v>
      </c>
      <c r="F145" s="25" t="s">
        <v>152</v>
      </c>
      <c r="G145" s="23" t="n">
        <v>60</v>
      </c>
      <c r="H145" s="26" t="n">
        <v>2</v>
      </c>
      <c r="I145" s="27"/>
      <c r="J145" s="23"/>
      <c r="K145" s="23"/>
      <c r="L145" s="23" t="n">
        <v>6</v>
      </c>
      <c r="M145" s="28" t="n">
        <f aca="false">G145*L145</f>
        <v>360</v>
      </c>
      <c r="N145" s="25" t="s">
        <v>239</v>
      </c>
      <c r="O145" s="13"/>
      <c r="P145" s="13"/>
      <c r="Q145" s="14" t="str">
        <f aca="false">IF(P145="","",G145*P145)</f>
        <v/>
      </c>
      <c r="R145" s="13"/>
    </row>
    <row r="146" customFormat="false" ht="15" hidden="false" customHeight="true" outlineLevel="0" collapsed="false">
      <c r="A146" s="29" t="n">
        <v>18</v>
      </c>
      <c r="B146" s="29" t="s">
        <v>259</v>
      </c>
      <c r="C146" s="30" t="n">
        <v>46388</v>
      </c>
      <c r="D146" s="29" t="s">
        <v>116</v>
      </c>
      <c r="E146" s="29" t="s">
        <v>104</v>
      </c>
      <c r="F146" s="31" t="s">
        <v>132</v>
      </c>
      <c r="G146" s="29" t="n">
        <v>85</v>
      </c>
      <c r="H146" s="32"/>
      <c r="I146" s="33" t="n">
        <v>4000</v>
      </c>
      <c r="J146" s="29"/>
      <c r="K146" s="29"/>
      <c r="L146" s="29" t="n">
        <v>4</v>
      </c>
      <c r="M146" s="34" t="n">
        <f aca="false">G146*L146</f>
        <v>340</v>
      </c>
      <c r="N146" s="31" t="s">
        <v>262</v>
      </c>
      <c r="O146" s="13"/>
      <c r="P146" s="13"/>
      <c r="Q146" s="14" t="str">
        <f aca="false">IF(P146="","",G146*P146)</f>
        <v/>
      </c>
      <c r="R146" s="13"/>
    </row>
    <row r="147" customFormat="false" ht="15" hidden="false" customHeight="true" outlineLevel="0" collapsed="false">
      <c r="A147" s="7" t="n">
        <v>18</v>
      </c>
      <c r="B147" s="7" t="s">
        <v>259</v>
      </c>
      <c r="C147" s="8" t="n">
        <v>46388</v>
      </c>
      <c r="D147" s="7" t="s">
        <v>116</v>
      </c>
      <c r="E147" s="7" t="s">
        <v>90</v>
      </c>
      <c r="F147" s="9" t="s">
        <v>178</v>
      </c>
      <c r="G147" s="7" t="n">
        <v>58</v>
      </c>
      <c r="H147" s="10" t="n">
        <v>10</v>
      </c>
      <c r="I147" s="11"/>
      <c r="J147" s="7" t="s">
        <v>179</v>
      </c>
      <c r="K147" s="7" t="str">
        <f aca="false">"Récup "&amp;TEXT((Allures!$C$15+95)/86400,"mm:ss")</f>
        <v>Récup 05:44</v>
      </c>
      <c r="L147" s="7" t="n">
        <v>3</v>
      </c>
      <c r="M147" s="12" t="n">
        <f aca="false">G147*L147</f>
        <v>174</v>
      </c>
      <c r="N147" s="9" t="s">
        <v>187</v>
      </c>
      <c r="O147" s="13"/>
      <c r="P147" s="13"/>
      <c r="Q147" s="14" t="str">
        <f aca="false">IF(P147="","",G147*P147)</f>
        <v/>
      </c>
      <c r="R147" s="13"/>
    </row>
    <row r="148" customFormat="false" ht="15" hidden="false" customHeight="true" outlineLevel="0" collapsed="false">
      <c r="A148" s="7" t="n">
        <v>18</v>
      </c>
      <c r="B148" s="7" t="s">
        <v>259</v>
      </c>
      <c r="C148" s="8" t="n">
        <v>46389</v>
      </c>
      <c r="D148" s="7" t="s">
        <v>89</v>
      </c>
      <c r="E148" s="7" t="s">
        <v>90</v>
      </c>
      <c r="F148" s="9" t="s">
        <v>201</v>
      </c>
      <c r="G148" s="7" t="n">
        <v>85</v>
      </c>
      <c r="H148" s="10" t="n">
        <v>15</v>
      </c>
      <c r="I148" s="11"/>
      <c r="J148" s="7" t="s">
        <v>120</v>
      </c>
      <c r="K148" s="7" t="str">
        <f aca="false">"EF "&amp;TEXT((Allures!$C$15+75)/86400,"mm:ss")</f>
        <v>EF 05:24</v>
      </c>
      <c r="L148" s="7" t="n">
        <v>4</v>
      </c>
      <c r="M148" s="12" t="n">
        <f aca="false">G148*L148</f>
        <v>340</v>
      </c>
      <c r="N148" s="9" t="s">
        <v>263</v>
      </c>
      <c r="O148" s="13"/>
      <c r="P148" s="13"/>
      <c r="Q148" s="14" t="str">
        <f aca="false">IF(P148="","",G148*P148)</f>
        <v/>
      </c>
      <c r="R148" s="13"/>
    </row>
    <row r="149" customFormat="false" ht="15" hidden="false" customHeight="true" outlineLevel="0" collapsed="false">
      <c r="A149" s="15" t="n">
        <v>18</v>
      </c>
      <c r="B149" s="15" t="s">
        <v>259</v>
      </c>
      <c r="C149" s="16" t="n">
        <v>46390</v>
      </c>
      <c r="D149" s="15" t="s">
        <v>94</v>
      </c>
      <c r="E149" s="15" t="s">
        <v>95</v>
      </c>
      <c r="F149" s="17" t="s">
        <v>96</v>
      </c>
      <c r="G149" s="15" t="n">
        <v>0</v>
      </c>
      <c r="H149" s="18"/>
      <c r="I149" s="19"/>
      <c r="J149" s="15"/>
      <c r="K149" s="15"/>
      <c r="L149" s="15" t="n">
        <v>0</v>
      </c>
      <c r="M149" s="20" t="n">
        <f aca="false">G149*L149</f>
        <v>0</v>
      </c>
      <c r="N149" s="17" t="s">
        <v>139</v>
      </c>
      <c r="O149" s="21"/>
      <c r="P149" s="21"/>
      <c r="Q149" s="22" t="str">
        <f aca="false">IF(P149="","",G149*P149)</f>
        <v/>
      </c>
      <c r="R149" s="21"/>
    </row>
    <row r="150" customFormat="false" ht="34.5" hidden="false" customHeight="true" outlineLevel="0" collapsed="false">
      <c r="A150" s="23" t="n">
        <v>19</v>
      </c>
      <c r="B150" s="23" t="s">
        <v>233</v>
      </c>
      <c r="C150" s="24" t="n">
        <v>46391</v>
      </c>
      <c r="D150" s="23" t="s">
        <v>99</v>
      </c>
      <c r="E150" s="23" t="s">
        <v>100</v>
      </c>
      <c r="F150" s="25" t="s">
        <v>101</v>
      </c>
      <c r="G150" s="23" t="n">
        <v>75</v>
      </c>
      <c r="H150" s="26"/>
      <c r="I150" s="27"/>
      <c r="J150" s="23"/>
      <c r="K150" s="23"/>
      <c r="L150" s="23" t="n">
        <v>6</v>
      </c>
      <c r="M150" s="28" t="n">
        <f aca="false">G150*L150</f>
        <v>450</v>
      </c>
      <c r="N150" s="25" t="s">
        <v>234</v>
      </c>
      <c r="O150" s="13"/>
      <c r="P150" s="13"/>
      <c r="Q150" s="14" t="str">
        <f aca="false">IF(P150="","",G150*P150)</f>
        <v/>
      </c>
      <c r="R150" s="13"/>
    </row>
    <row r="151" customFormat="false" ht="23.25" hidden="false" customHeight="true" outlineLevel="0" collapsed="false">
      <c r="A151" s="29" t="n">
        <v>19</v>
      </c>
      <c r="B151" s="29" t="s">
        <v>233</v>
      </c>
      <c r="C151" s="30" t="n">
        <v>46392</v>
      </c>
      <c r="D151" s="29" t="s">
        <v>103</v>
      </c>
      <c r="E151" s="29" t="s">
        <v>104</v>
      </c>
      <c r="F151" s="31" t="s">
        <v>105</v>
      </c>
      <c r="G151" s="29" t="n">
        <v>105</v>
      </c>
      <c r="H151" s="32"/>
      <c r="I151" s="33" t="n">
        <v>4800</v>
      </c>
      <c r="J151" s="29"/>
      <c r="K151" s="29"/>
      <c r="L151" s="29" t="n">
        <v>5</v>
      </c>
      <c r="M151" s="34" t="n">
        <f aca="false">G151*L151</f>
        <v>525</v>
      </c>
      <c r="N151" s="31" t="s">
        <v>264</v>
      </c>
      <c r="O151" s="13"/>
      <c r="P151" s="13"/>
      <c r="Q151" s="14" t="str">
        <f aca="false">IF(P151="","",G151*P151)</f>
        <v/>
      </c>
      <c r="R151" s="13"/>
    </row>
    <row r="152" customFormat="false" ht="23.25" hidden="false" customHeight="true" outlineLevel="0" collapsed="false">
      <c r="A152" s="35" t="n">
        <v>19</v>
      </c>
      <c r="B152" s="35" t="s">
        <v>233</v>
      </c>
      <c r="C152" s="36" t="n">
        <v>46392</v>
      </c>
      <c r="D152" s="35" t="s">
        <v>107</v>
      </c>
      <c r="E152" s="35" t="s">
        <v>108</v>
      </c>
      <c r="F152" s="37" t="s">
        <v>135</v>
      </c>
      <c r="G152" s="35" t="n">
        <v>45</v>
      </c>
      <c r="H152" s="38"/>
      <c r="I152" s="39"/>
      <c r="J152" s="35"/>
      <c r="K152" s="35"/>
      <c r="L152" s="35" t="n">
        <v>3</v>
      </c>
      <c r="M152" s="40" t="n">
        <f aca="false">G152*L152</f>
        <v>135</v>
      </c>
      <c r="N152" s="37" t="s">
        <v>136</v>
      </c>
      <c r="O152" s="13"/>
      <c r="P152" s="13"/>
      <c r="Q152" s="14" t="str">
        <f aca="false">IF(P152="","",G152*P152)</f>
        <v/>
      </c>
      <c r="R152" s="13"/>
    </row>
    <row r="153" customFormat="false" ht="23.25" hidden="false" customHeight="true" outlineLevel="0" collapsed="false">
      <c r="A153" s="7" t="n">
        <v>19</v>
      </c>
      <c r="B153" s="7" t="s">
        <v>233</v>
      </c>
      <c r="C153" s="8" t="n">
        <v>46393</v>
      </c>
      <c r="D153" s="7" t="s">
        <v>111</v>
      </c>
      <c r="E153" s="7" t="s">
        <v>90</v>
      </c>
      <c r="F153" s="9" t="s">
        <v>265</v>
      </c>
      <c r="G153" s="7" t="n">
        <v>85</v>
      </c>
      <c r="H153" s="10" t="n">
        <v>15</v>
      </c>
      <c r="I153" s="11"/>
      <c r="J153" s="7" t="s">
        <v>237</v>
      </c>
      <c r="K153" s="7" t="str">
        <f aca="false">"EF "&amp;TEXT((Allures!$C$15+75)/86400,"mm:ss")&amp;" · "&amp;"All. 10 km "&amp;TEXT((Allures!$C$15+0)/86400,"mm:ss")</f>
        <v>EF 05:24 · All. 10 km 04:09</v>
      </c>
      <c r="L153" s="7" t="n">
        <v>8</v>
      </c>
      <c r="M153" s="12" t="n">
        <f aca="false">G153*L153</f>
        <v>680</v>
      </c>
      <c r="N153" s="9" t="s">
        <v>266</v>
      </c>
      <c r="O153" s="13"/>
      <c r="P153" s="13"/>
      <c r="Q153" s="14" t="str">
        <f aca="false">IF(P153="","",G153*P153)</f>
        <v/>
      </c>
      <c r="R153" s="13"/>
    </row>
    <row r="154" customFormat="false" ht="23.25" hidden="false" customHeight="true" outlineLevel="0" collapsed="false">
      <c r="A154" s="23" t="n">
        <v>19</v>
      </c>
      <c r="B154" s="23" t="s">
        <v>233</v>
      </c>
      <c r="C154" s="24" t="n">
        <v>46394</v>
      </c>
      <c r="D154" s="23" t="s">
        <v>114</v>
      </c>
      <c r="E154" s="23" t="s">
        <v>100</v>
      </c>
      <c r="F154" s="25" t="s">
        <v>152</v>
      </c>
      <c r="G154" s="23" t="n">
        <v>60</v>
      </c>
      <c r="H154" s="26" t="n">
        <v>2</v>
      </c>
      <c r="I154" s="27"/>
      <c r="J154" s="23"/>
      <c r="K154" s="23"/>
      <c r="L154" s="23" t="n">
        <v>6</v>
      </c>
      <c r="M154" s="28" t="n">
        <f aca="false">G154*L154</f>
        <v>360</v>
      </c>
      <c r="N154" s="25" t="s">
        <v>239</v>
      </c>
      <c r="O154" s="13"/>
      <c r="P154" s="13"/>
      <c r="Q154" s="14" t="str">
        <f aca="false">IF(P154="","",G154*P154)</f>
        <v/>
      </c>
      <c r="R154" s="13"/>
    </row>
    <row r="155" customFormat="false" ht="15" hidden="false" customHeight="true" outlineLevel="0" collapsed="false">
      <c r="A155" s="29" t="n">
        <v>19</v>
      </c>
      <c r="B155" s="29" t="s">
        <v>233</v>
      </c>
      <c r="C155" s="30" t="n">
        <v>46395</v>
      </c>
      <c r="D155" s="29" t="s">
        <v>116</v>
      </c>
      <c r="E155" s="29" t="s">
        <v>104</v>
      </c>
      <c r="F155" s="31" t="s">
        <v>132</v>
      </c>
      <c r="G155" s="29" t="n">
        <v>85</v>
      </c>
      <c r="H155" s="32"/>
      <c r="I155" s="33" t="n">
        <v>4000</v>
      </c>
      <c r="J155" s="29"/>
      <c r="K155" s="29"/>
      <c r="L155" s="29" t="n">
        <v>4</v>
      </c>
      <c r="M155" s="34" t="n">
        <f aca="false">G155*L155</f>
        <v>340</v>
      </c>
      <c r="N155" s="31" t="s">
        <v>267</v>
      </c>
      <c r="O155" s="13"/>
      <c r="P155" s="13"/>
      <c r="Q155" s="14" t="str">
        <f aca="false">IF(P155="","",G155*P155)</f>
        <v/>
      </c>
      <c r="R155" s="13"/>
    </row>
    <row r="156" customFormat="false" ht="15" hidden="false" customHeight="true" outlineLevel="0" collapsed="false">
      <c r="A156" s="7" t="n">
        <v>19</v>
      </c>
      <c r="B156" s="7" t="s">
        <v>233</v>
      </c>
      <c r="C156" s="8" t="n">
        <v>46395</v>
      </c>
      <c r="D156" s="7" t="s">
        <v>116</v>
      </c>
      <c r="E156" s="7" t="s">
        <v>90</v>
      </c>
      <c r="F156" s="9" t="s">
        <v>178</v>
      </c>
      <c r="G156" s="7" t="n">
        <v>58</v>
      </c>
      <c r="H156" s="10" t="n">
        <v>10</v>
      </c>
      <c r="I156" s="11"/>
      <c r="J156" s="7" t="s">
        <v>179</v>
      </c>
      <c r="K156" s="7" t="str">
        <f aca="false">"Récup "&amp;TEXT((Allures!$C$15+95)/86400,"mm:ss")</f>
        <v>Récup 05:44</v>
      </c>
      <c r="L156" s="7" t="n">
        <v>3</v>
      </c>
      <c r="M156" s="12" t="n">
        <f aca="false">G156*L156</f>
        <v>174</v>
      </c>
      <c r="N156" s="9" t="s">
        <v>187</v>
      </c>
      <c r="O156" s="13"/>
      <c r="P156" s="13"/>
      <c r="Q156" s="14" t="str">
        <f aca="false">IF(P156="","",G156*P156)</f>
        <v/>
      </c>
      <c r="R156" s="13"/>
    </row>
    <row r="157" customFormat="false" ht="15" hidden="false" customHeight="true" outlineLevel="0" collapsed="false">
      <c r="A157" s="7" t="n">
        <v>19</v>
      </c>
      <c r="B157" s="7" t="s">
        <v>233</v>
      </c>
      <c r="C157" s="8" t="n">
        <v>46396</v>
      </c>
      <c r="D157" s="7" t="s">
        <v>89</v>
      </c>
      <c r="E157" s="7" t="s">
        <v>90</v>
      </c>
      <c r="F157" s="9" t="s">
        <v>137</v>
      </c>
      <c r="G157" s="7" t="n">
        <v>108</v>
      </c>
      <c r="H157" s="10" t="n">
        <v>19</v>
      </c>
      <c r="I157" s="11"/>
      <c r="J157" s="7" t="s">
        <v>241</v>
      </c>
      <c r="K157" s="7" t="str">
        <f aca="false">"EF "&amp;TEXT((Allures!$C$15+75)/86400,"mm:ss")&amp;" · "&amp;"All. marathon "&amp;TEXT((Allures!$C$15+30)/86400,"mm:ss")</f>
        <v>EF 05:24 · All. marathon 04:39</v>
      </c>
      <c r="L157" s="7" t="n">
        <v>5</v>
      </c>
      <c r="M157" s="12" t="n">
        <f aca="false">G157*L157</f>
        <v>540</v>
      </c>
      <c r="N157" s="9" t="s">
        <v>258</v>
      </c>
      <c r="O157" s="13"/>
      <c r="P157" s="13"/>
      <c r="Q157" s="14" t="str">
        <f aca="false">IF(P157="","",G157*P157)</f>
        <v/>
      </c>
      <c r="R157" s="13"/>
    </row>
    <row r="158" customFormat="false" ht="15" hidden="false" customHeight="true" outlineLevel="0" collapsed="false">
      <c r="A158" s="15" t="n">
        <v>19</v>
      </c>
      <c r="B158" s="15" t="s">
        <v>233</v>
      </c>
      <c r="C158" s="16" t="n">
        <v>46397</v>
      </c>
      <c r="D158" s="15" t="s">
        <v>94</v>
      </c>
      <c r="E158" s="15" t="s">
        <v>95</v>
      </c>
      <c r="F158" s="17" t="s">
        <v>96</v>
      </c>
      <c r="G158" s="15" t="n">
        <v>0</v>
      </c>
      <c r="H158" s="18"/>
      <c r="I158" s="19"/>
      <c r="J158" s="15"/>
      <c r="K158" s="15"/>
      <c r="L158" s="15" t="n">
        <v>0</v>
      </c>
      <c r="M158" s="20" t="n">
        <f aca="false">G158*L158</f>
        <v>0</v>
      </c>
      <c r="N158" s="17" t="s">
        <v>139</v>
      </c>
      <c r="O158" s="21"/>
      <c r="P158" s="21"/>
      <c r="Q158" s="22" t="str">
        <f aca="false">IF(P158="","",G158*P158)</f>
        <v/>
      </c>
      <c r="R158" s="21"/>
    </row>
    <row r="159" customFormat="false" ht="34.5" hidden="false" customHeight="true" outlineLevel="0" collapsed="false">
      <c r="A159" s="23" t="n">
        <v>20</v>
      </c>
      <c r="B159" s="23" t="s">
        <v>233</v>
      </c>
      <c r="C159" s="24" t="n">
        <v>46398</v>
      </c>
      <c r="D159" s="23" t="s">
        <v>99</v>
      </c>
      <c r="E159" s="23" t="s">
        <v>100</v>
      </c>
      <c r="F159" s="25" t="s">
        <v>101</v>
      </c>
      <c r="G159" s="23" t="n">
        <v>75</v>
      </c>
      <c r="H159" s="26"/>
      <c r="I159" s="27"/>
      <c r="J159" s="23"/>
      <c r="K159" s="23"/>
      <c r="L159" s="23" t="n">
        <v>6</v>
      </c>
      <c r="M159" s="28" t="n">
        <f aca="false">G159*L159</f>
        <v>450</v>
      </c>
      <c r="N159" s="25" t="s">
        <v>234</v>
      </c>
      <c r="O159" s="13"/>
      <c r="P159" s="13"/>
      <c r="Q159" s="14" t="str">
        <f aca="false">IF(P159="","",G159*P159)</f>
        <v/>
      </c>
      <c r="R159" s="13"/>
    </row>
    <row r="160" customFormat="false" ht="23.25" hidden="false" customHeight="true" outlineLevel="0" collapsed="false">
      <c r="A160" s="29" t="n">
        <v>20</v>
      </c>
      <c r="B160" s="29" t="s">
        <v>233</v>
      </c>
      <c r="C160" s="30" t="n">
        <v>46399</v>
      </c>
      <c r="D160" s="29" t="s">
        <v>103</v>
      </c>
      <c r="E160" s="29" t="s">
        <v>104</v>
      </c>
      <c r="F160" s="31" t="s">
        <v>105</v>
      </c>
      <c r="G160" s="29" t="n">
        <v>105</v>
      </c>
      <c r="H160" s="32"/>
      <c r="I160" s="33" t="n">
        <v>4800</v>
      </c>
      <c r="J160" s="29"/>
      <c r="K160" s="29"/>
      <c r="L160" s="29" t="n">
        <v>5</v>
      </c>
      <c r="M160" s="34" t="n">
        <f aca="false">G160*L160</f>
        <v>525</v>
      </c>
      <c r="N160" s="31" t="s">
        <v>264</v>
      </c>
      <c r="O160" s="13"/>
      <c r="P160" s="13"/>
      <c r="Q160" s="14" t="str">
        <f aca="false">IF(P160="","",G160*P160)</f>
        <v/>
      </c>
      <c r="R160" s="13"/>
    </row>
    <row r="161" customFormat="false" ht="23.25" hidden="false" customHeight="true" outlineLevel="0" collapsed="false">
      <c r="A161" s="35" t="n">
        <v>20</v>
      </c>
      <c r="B161" s="35" t="s">
        <v>233</v>
      </c>
      <c r="C161" s="36" t="n">
        <v>46399</v>
      </c>
      <c r="D161" s="35" t="s">
        <v>107</v>
      </c>
      <c r="E161" s="35" t="s">
        <v>108</v>
      </c>
      <c r="F161" s="37" t="s">
        <v>135</v>
      </c>
      <c r="G161" s="35" t="n">
        <v>45</v>
      </c>
      <c r="H161" s="38"/>
      <c r="I161" s="39"/>
      <c r="J161" s="35"/>
      <c r="K161" s="35"/>
      <c r="L161" s="35" t="n">
        <v>3</v>
      </c>
      <c r="M161" s="40" t="n">
        <f aca="false">G161*L161</f>
        <v>135</v>
      </c>
      <c r="N161" s="37" t="s">
        <v>136</v>
      </c>
      <c r="O161" s="13"/>
      <c r="P161" s="13"/>
      <c r="Q161" s="14" t="str">
        <f aca="false">IF(P161="","",G161*P161)</f>
        <v/>
      </c>
      <c r="R161" s="13"/>
    </row>
    <row r="162" customFormat="false" ht="23.25" hidden="false" customHeight="true" outlineLevel="0" collapsed="false">
      <c r="A162" s="7" t="n">
        <v>20</v>
      </c>
      <c r="B162" s="7" t="s">
        <v>233</v>
      </c>
      <c r="C162" s="8" t="n">
        <v>46400</v>
      </c>
      <c r="D162" s="7" t="s">
        <v>111</v>
      </c>
      <c r="E162" s="7" t="s">
        <v>90</v>
      </c>
      <c r="F162" s="9" t="s">
        <v>268</v>
      </c>
      <c r="G162" s="7" t="n">
        <v>85</v>
      </c>
      <c r="H162" s="10" t="n">
        <v>15</v>
      </c>
      <c r="I162" s="11"/>
      <c r="J162" s="7" t="s">
        <v>191</v>
      </c>
      <c r="K162" s="7" t="str">
        <f aca="false">"EF "&amp;TEXT((Allures!$C$15+75)/86400,"mm:ss")&amp;" · "&amp;"All. 5 km / VMA "&amp;TEXT((Allures!$C$15-10)/86400,"mm:ss")</f>
        <v>EF 05:24 · All. 5 km / VMA 03:59</v>
      </c>
      <c r="L162" s="7" t="n">
        <v>9</v>
      </c>
      <c r="M162" s="12" t="n">
        <f aca="false">G162*L162</f>
        <v>765</v>
      </c>
      <c r="N162" s="9" t="s">
        <v>269</v>
      </c>
      <c r="O162" s="13"/>
      <c r="P162" s="13"/>
      <c r="Q162" s="14" t="str">
        <f aca="false">IF(P162="","",G162*P162)</f>
        <v/>
      </c>
      <c r="R162" s="13"/>
    </row>
    <row r="163" customFormat="false" ht="23.25" hidden="false" customHeight="true" outlineLevel="0" collapsed="false">
      <c r="A163" s="23" t="n">
        <v>20</v>
      </c>
      <c r="B163" s="23" t="s">
        <v>233</v>
      </c>
      <c r="C163" s="24" t="n">
        <v>46401</v>
      </c>
      <c r="D163" s="23" t="s">
        <v>114</v>
      </c>
      <c r="E163" s="23" t="s">
        <v>100</v>
      </c>
      <c r="F163" s="25" t="s">
        <v>152</v>
      </c>
      <c r="G163" s="23" t="n">
        <v>60</v>
      </c>
      <c r="H163" s="26" t="n">
        <v>2</v>
      </c>
      <c r="I163" s="27"/>
      <c r="J163" s="23"/>
      <c r="K163" s="23"/>
      <c r="L163" s="23" t="n">
        <v>6</v>
      </c>
      <c r="M163" s="28" t="n">
        <f aca="false">G163*L163</f>
        <v>360</v>
      </c>
      <c r="N163" s="25" t="s">
        <v>239</v>
      </c>
      <c r="O163" s="13"/>
      <c r="P163" s="13"/>
      <c r="Q163" s="14" t="str">
        <f aca="false">IF(P163="","",G163*P163)</f>
        <v/>
      </c>
      <c r="R163" s="13"/>
    </row>
    <row r="164" customFormat="false" ht="15" hidden="false" customHeight="true" outlineLevel="0" collapsed="false">
      <c r="A164" s="29" t="n">
        <v>20</v>
      </c>
      <c r="B164" s="29" t="s">
        <v>233</v>
      </c>
      <c r="C164" s="30" t="n">
        <v>46402</v>
      </c>
      <c r="D164" s="29" t="s">
        <v>116</v>
      </c>
      <c r="E164" s="29" t="s">
        <v>104</v>
      </c>
      <c r="F164" s="31" t="s">
        <v>132</v>
      </c>
      <c r="G164" s="29" t="n">
        <v>85</v>
      </c>
      <c r="H164" s="32"/>
      <c r="I164" s="33" t="n">
        <v>4000</v>
      </c>
      <c r="J164" s="29"/>
      <c r="K164" s="29"/>
      <c r="L164" s="29" t="n">
        <v>4</v>
      </c>
      <c r="M164" s="34" t="n">
        <f aca="false">G164*L164</f>
        <v>340</v>
      </c>
      <c r="N164" s="31" t="s">
        <v>267</v>
      </c>
      <c r="O164" s="13"/>
      <c r="P164" s="13"/>
      <c r="Q164" s="14" t="str">
        <f aca="false">IF(P164="","",G164*P164)</f>
        <v/>
      </c>
      <c r="R164" s="13"/>
    </row>
    <row r="165" customFormat="false" ht="15" hidden="false" customHeight="true" outlineLevel="0" collapsed="false">
      <c r="A165" s="7" t="n">
        <v>20</v>
      </c>
      <c r="B165" s="7" t="s">
        <v>233</v>
      </c>
      <c r="C165" s="8" t="n">
        <v>46402</v>
      </c>
      <c r="D165" s="7" t="s">
        <v>116</v>
      </c>
      <c r="E165" s="7" t="s">
        <v>90</v>
      </c>
      <c r="F165" s="9" t="s">
        <v>178</v>
      </c>
      <c r="G165" s="7" t="n">
        <v>58</v>
      </c>
      <c r="H165" s="10" t="n">
        <v>10</v>
      </c>
      <c r="I165" s="11"/>
      <c r="J165" s="7" t="s">
        <v>179</v>
      </c>
      <c r="K165" s="7" t="str">
        <f aca="false">"Récup "&amp;TEXT((Allures!$C$15+95)/86400,"mm:ss")</f>
        <v>Récup 05:44</v>
      </c>
      <c r="L165" s="7" t="n">
        <v>3</v>
      </c>
      <c r="M165" s="12" t="n">
        <f aca="false">G165*L165</f>
        <v>174</v>
      </c>
      <c r="N165" s="9" t="s">
        <v>187</v>
      </c>
      <c r="O165" s="13"/>
      <c r="P165" s="13"/>
      <c r="Q165" s="14" t="str">
        <f aca="false">IF(P165="","",G165*P165)</f>
        <v/>
      </c>
      <c r="R165" s="13"/>
    </row>
    <row r="166" customFormat="false" ht="15" hidden="false" customHeight="true" outlineLevel="0" collapsed="false">
      <c r="A166" s="7" t="n">
        <v>20</v>
      </c>
      <c r="B166" s="7" t="s">
        <v>233</v>
      </c>
      <c r="C166" s="8" t="n">
        <v>46403</v>
      </c>
      <c r="D166" s="7" t="s">
        <v>89</v>
      </c>
      <c r="E166" s="7" t="s">
        <v>90</v>
      </c>
      <c r="F166" s="9" t="s">
        <v>137</v>
      </c>
      <c r="G166" s="7" t="n">
        <v>114</v>
      </c>
      <c r="H166" s="10" t="n">
        <v>20</v>
      </c>
      <c r="I166" s="11"/>
      <c r="J166" s="7" t="s">
        <v>241</v>
      </c>
      <c r="K166" s="7" t="str">
        <f aca="false">"EF "&amp;TEXT((Allures!$C$15+75)/86400,"mm:ss")&amp;" · "&amp;"All. marathon "&amp;TEXT((Allures!$C$15+30)/86400,"mm:ss")</f>
        <v>EF 05:24 · All. marathon 04:39</v>
      </c>
      <c r="L166" s="7" t="n">
        <v>5</v>
      </c>
      <c r="M166" s="12" t="n">
        <f aca="false">G166*L166</f>
        <v>570</v>
      </c>
      <c r="N166" s="9" t="s">
        <v>270</v>
      </c>
      <c r="O166" s="13"/>
      <c r="P166" s="13"/>
      <c r="Q166" s="14" t="str">
        <f aca="false">IF(P166="","",G166*P166)</f>
        <v/>
      </c>
      <c r="R166" s="13"/>
    </row>
    <row r="167" customFormat="false" ht="15" hidden="false" customHeight="true" outlineLevel="0" collapsed="false">
      <c r="A167" s="15" t="n">
        <v>20</v>
      </c>
      <c r="B167" s="15" t="s">
        <v>233</v>
      </c>
      <c r="C167" s="16" t="n">
        <v>46404</v>
      </c>
      <c r="D167" s="15" t="s">
        <v>94</v>
      </c>
      <c r="E167" s="15" t="s">
        <v>95</v>
      </c>
      <c r="F167" s="17" t="s">
        <v>96</v>
      </c>
      <c r="G167" s="15" t="n">
        <v>0</v>
      </c>
      <c r="H167" s="18"/>
      <c r="I167" s="19"/>
      <c r="J167" s="15"/>
      <c r="K167" s="15"/>
      <c r="L167" s="15" t="n">
        <v>0</v>
      </c>
      <c r="M167" s="20" t="n">
        <f aca="false">G167*L167</f>
        <v>0</v>
      </c>
      <c r="N167" s="17" t="s">
        <v>139</v>
      </c>
      <c r="O167" s="21"/>
      <c r="P167" s="21"/>
      <c r="Q167" s="22" t="str">
        <f aca="false">IF(P167="","",G167*P167)</f>
        <v/>
      </c>
      <c r="R167" s="21"/>
    </row>
    <row r="168" customFormat="false" ht="34.5" hidden="false" customHeight="true" outlineLevel="0" collapsed="false">
      <c r="A168" s="23" t="n">
        <v>21</v>
      </c>
      <c r="B168" s="23" t="s">
        <v>233</v>
      </c>
      <c r="C168" s="24" t="n">
        <v>46405</v>
      </c>
      <c r="D168" s="23" t="s">
        <v>99</v>
      </c>
      <c r="E168" s="23" t="s">
        <v>100</v>
      </c>
      <c r="F168" s="25" t="s">
        <v>101</v>
      </c>
      <c r="G168" s="23" t="n">
        <v>75</v>
      </c>
      <c r="H168" s="26"/>
      <c r="I168" s="27"/>
      <c r="J168" s="23"/>
      <c r="K168" s="23"/>
      <c r="L168" s="23" t="n">
        <v>6</v>
      </c>
      <c r="M168" s="28" t="n">
        <f aca="false">G168*L168</f>
        <v>450</v>
      </c>
      <c r="N168" s="25" t="s">
        <v>234</v>
      </c>
      <c r="O168" s="13"/>
      <c r="P168" s="13"/>
      <c r="Q168" s="14" t="str">
        <f aca="false">IF(P168="","",G168*P168)</f>
        <v/>
      </c>
      <c r="R168" s="13"/>
    </row>
    <row r="169" customFormat="false" ht="23.25" hidden="false" customHeight="true" outlineLevel="0" collapsed="false">
      <c r="A169" s="29" t="n">
        <v>21</v>
      </c>
      <c r="B169" s="29" t="s">
        <v>233</v>
      </c>
      <c r="C169" s="30" t="n">
        <v>46406</v>
      </c>
      <c r="D169" s="29" t="s">
        <v>103</v>
      </c>
      <c r="E169" s="29" t="s">
        <v>104</v>
      </c>
      <c r="F169" s="31" t="s">
        <v>105</v>
      </c>
      <c r="G169" s="29" t="n">
        <v>90</v>
      </c>
      <c r="H169" s="32"/>
      <c r="I169" s="33" t="n">
        <v>4000</v>
      </c>
      <c r="J169" s="29"/>
      <c r="K169" s="29"/>
      <c r="L169" s="29" t="n">
        <v>5</v>
      </c>
      <c r="M169" s="34" t="n">
        <f aca="false">G169*L169</f>
        <v>450</v>
      </c>
      <c r="N169" s="31" t="s">
        <v>271</v>
      </c>
      <c r="O169" s="13"/>
      <c r="P169" s="13"/>
      <c r="Q169" s="14" t="str">
        <f aca="false">IF(P169="","",G169*P169)</f>
        <v/>
      </c>
      <c r="R169" s="13"/>
    </row>
    <row r="170" customFormat="false" ht="23.25" hidden="false" customHeight="true" outlineLevel="0" collapsed="false">
      <c r="A170" s="35" t="n">
        <v>21</v>
      </c>
      <c r="B170" s="35" t="s">
        <v>233</v>
      </c>
      <c r="C170" s="36" t="n">
        <v>46406</v>
      </c>
      <c r="D170" s="35" t="s">
        <v>107</v>
      </c>
      <c r="E170" s="35" t="s">
        <v>108</v>
      </c>
      <c r="F170" s="37" t="s">
        <v>135</v>
      </c>
      <c r="G170" s="35" t="n">
        <v>45</v>
      </c>
      <c r="H170" s="38"/>
      <c r="I170" s="39"/>
      <c r="J170" s="35"/>
      <c r="K170" s="35"/>
      <c r="L170" s="35" t="n">
        <v>3</v>
      </c>
      <c r="M170" s="40" t="n">
        <f aca="false">G170*L170</f>
        <v>135</v>
      </c>
      <c r="N170" s="37" t="s">
        <v>136</v>
      </c>
      <c r="O170" s="13"/>
      <c r="P170" s="13"/>
      <c r="Q170" s="14" t="str">
        <f aca="false">IF(P170="","",G170*P170)</f>
        <v/>
      </c>
      <c r="R170" s="13"/>
    </row>
    <row r="171" customFormat="false" ht="23.25" hidden="false" customHeight="true" outlineLevel="0" collapsed="false">
      <c r="A171" s="7" t="n">
        <v>21</v>
      </c>
      <c r="B171" s="7" t="s">
        <v>233</v>
      </c>
      <c r="C171" s="8" t="n">
        <v>46407</v>
      </c>
      <c r="D171" s="7" t="s">
        <v>111</v>
      </c>
      <c r="E171" s="7" t="s">
        <v>90</v>
      </c>
      <c r="F171" s="9" t="s">
        <v>272</v>
      </c>
      <c r="G171" s="7" t="n">
        <v>85</v>
      </c>
      <c r="H171" s="10" t="n">
        <v>15</v>
      </c>
      <c r="I171" s="11"/>
      <c r="J171" s="7" t="s">
        <v>237</v>
      </c>
      <c r="K171" s="7" t="str">
        <f aca="false">"EF "&amp;TEXT((Allures!$C$15+75)/86400,"mm:ss")&amp;" · "&amp;"All. 10 km "&amp;TEXT((Allures!$C$15+0)/86400,"mm:ss")</f>
        <v>EF 05:24 · All. 10 km 04:09</v>
      </c>
      <c r="L171" s="7" t="n">
        <v>8</v>
      </c>
      <c r="M171" s="12" t="n">
        <f aca="false">G171*L171</f>
        <v>680</v>
      </c>
      <c r="N171" s="9" t="s">
        <v>273</v>
      </c>
      <c r="O171" s="13"/>
      <c r="P171" s="13"/>
      <c r="Q171" s="14" t="str">
        <f aca="false">IF(P171="","",G171*P171)</f>
        <v/>
      </c>
      <c r="R171" s="13"/>
    </row>
    <row r="172" customFormat="false" ht="23.25" hidden="false" customHeight="true" outlineLevel="0" collapsed="false">
      <c r="A172" s="23" t="n">
        <v>21</v>
      </c>
      <c r="B172" s="23" t="s">
        <v>233</v>
      </c>
      <c r="C172" s="24" t="n">
        <v>46408</v>
      </c>
      <c r="D172" s="23" t="s">
        <v>114</v>
      </c>
      <c r="E172" s="23" t="s">
        <v>100</v>
      </c>
      <c r="F172" s="25" t="s">
        <v>152</v>
      </c>
      <c r="G172" s="23" t="n">
        <v>60</v>
      </c>
      <c r="H172" s="26" t="n">
        <v>2</v>
      </c>
      <c r="I172" s="27"/>
      <c r="J172" s="23"/>
      <c r="K172" s="23"/>
      <c r="L172" s="23" t="n">
        <v>6</v>
      </c>
      <c r="M172" s="28" t="n">
        <f aca="false">G172*L172</f>
        <v>360</v>
      </c>
      <c r="N172" s="25" t="s">
        <v>239</v>
      </c>
      <c r="O172" s="13"/>
      <c r="P172" s="13"/>
      <c r="Q172" s="14" t="str">
        <f aca="false">IF(P172="","",G172*P172)</f>
        <v/>
      </c>
      <c r="R172" s="13"/>
    </row>
    <row r="173" customFormat="false" ht="15" hidden="false" customHeight="true" outlineLevel="0" collapsed="false">
      <c r="A173" s="29" t="n">
        <v>21</v>
      </c>
      <c r="B173" s="29" t="s">
        <v>233</v>
      </c>
      <c r="C173" s="30" t="n">
        <v>46409</v>
      </c>
      <c r="D173" s="29" t="s">
        <v>116</v>
      </c>
      <c r="E173" s="29" t="s">
        <v>104</v>
      </c>
      <c r="F173" s="31" t="s">
        <v>132</v>
      </c>
      <c r="G173" s="29" t="n">
        <v>70</v>
      </c>
      <c r="H173" s="32"/>
      <c r="I173" s="33" t="n">
        <v>3400</v>
      </c>
      <c r="J173" s="29"/>
      <c r="K173" s="29"/>
      <c r="L173" s="29" t="n">
        <v>4</v>
      </c>
      <c r="M173" s="34" t="n">
        <f aca="false">G173*L173</f>
        <v>280</v>
      </c>
      <c r="N173" s="31" t="s">
        <v>274</v>
      </c>
      <c r="O173" s="13"/>
      <c r="P173" s="13"/>
      <c r="Q173" s="14" t="str">
        <f aca="false">IF(P173="","",G173*P173)</f>
        <v/>
      </c>
      <c r="R173" s="13"/>
    </row>
    <row r="174" customFormat="false" ht="15" hidden="false" customHeight="true" outlineLevel="0" collapsed="false">
      <c r="A174" s="7" t="n">
        <v>21</v>
      </c>
      <c r="B174" s="7" t="s">
        <v>233</v>
      </c>
      <c r="C174" s="8" t="n">
        <v>46409</v>
      </c>
      <c r="D174" s="7" t="s">
        <v>116</v>
      </c>
      <c r="E174" s="7" t="s">
        <v>90</v>
      </c>
      <c r="F174" s="9" t="s">
        <v>178</v>
      </c>
      <c r="G174" s="7" t="n">
        <v>58</v>
      </c>
      <c r="H174" s="10" t="n">
        <v>10</v>
      </c>
      <c r="I174" s="11"/>
      <c r="J174" s="7" t="s">
        <v>179</v>
      </c>
      <c r="K174" s="7" t="str">
        <f aca="false">"Récup "&amp;TEXT((Allures!$C$15+95)/86400,"mm:ss")</f>
        <v>Récup 05:44</v>
      </c>
      <c r="L174" s="7" t="n">
        <v>3</v>
      </c>
      <c r="M174" s="12" t="n">
        <f aca="false">G174*L174</f>
        <v>174</v>
      </c>
      <c r="N174" s="9" t="s">
        <v>187</v>
      </c>
      <c r="O174" s="13"/>
      <c r="P174" s="13"/>
      <c r="Q174" s="14" t="str">
        <f aca="false">IF(P174="","",G174*P174)</f>
        <v/>
      </c>
      <c r="R174" s="13"/>
    </row>
    <row r="175" customFormat="false" ht="15" hidden="false" customHeight="true" outlineLevel="0" collapsed="false">
      <c r="A175" s="7" t="n">
        <v>21</v>
      </c>
      <c r="B175" s="7" t="s">
        <v>233</v>
      </c>
      <c r="C175" s="8" t="n">
        <v>46410</v>
      </c>
      <c r="D175" s="7" t="s">
        <v>89</v>
      </c>
      <c r="E175" s="7" t="s">
        <v>90</v>
      </c>
      <c r="F175" s="9" t="s">
        <v>137</v>
      </c>
      <c r="G175" s="7" t="n">
        <v>114</v>
      </c>
      <c r="H175" s="10" t="n">
        <v>20</v>
      </c>
      <c r="I175" s="11"/>
      <c r="J175" s="7" t="s">
        <v>241</v>
      </c>
      <c r="K175" s="7" t="str">
        <f aca="false">"EF "&amp;TEXT((Allures!$C$15+75)/86400,"mm:ss")&amp;" · "&amp;"All. marathon "&amp;TEXT((Allures!$C$15+30)/86400,"mm:ss")</f>
        <v>EF 05:24 · All. marathon 04:39</v>
      </c>
      <c r="L175" s="7" t="n">
        <v>5</v>
      </c>
      <c r="M175" s="12" t="n">
        <f aca="false">G175*L175</f>
        <v>570</v>
      </c>
      <c r="N175" s="9" t="s">
        <v>270</v>
      </c>
      <c r="O175" s="13"/>
      <c r="P175" s="13"/>
      <c r="Q175" s="14" t="str">
        <f aca="false">IF(P175="","",G175*P175)</f>
        <v/>
      </c>
      <c r="R175" s="13"/>
    </row>
    <row r="176" customFormat="false" ht="15" hidden="false" customHeight="true" outlineLevel="0" collapsed="false">
      <c r="A176" s="15" t="n">
        <v>21</v>
      </c>
      <c r="B176" s="15" t="s">
        <v>233</v>
      </c>
      <c r="C176" s="16" t="n">
        <v>46411</v>
      </c>
      <c r="D176" s="15" t="s">
        <v>94</v>
      </c>
      <c r="E176" s="15" t="s">
        <v>95</v>
      </c>
      <c r="F176" s="17" t="s">
        <v>96</v>
      </c>
      <c r="G176" s="15" t="n">
        <v>0</v>
      </c>
      <c r="H176" s="18"/>
      <c r="I176" s="19"/>
      <c r="J176" s="15"/>
      <c r="K176" s="15"/>
      <c r="L176" s="15" t="n">
        <v>0</v>
      </c>
      <c r="M176" s="20" t="n">
        <f aca="false">G176*L176</f>
        <v>0</v>
      </c>
      <c r="N176" s="17" t="s">
        <v>139</v>
      </c>
      <c r="O176" s="21"/>
      <c r="P176" s="21"/>
      <c r="Q176" s="22" t="str">
        <f aca="false">IF(P176="","",G176*P176)</f>
        <v/>
      </c>
      <c r="R176" s="21"/>
    </row>
    <row r="177" customFormat="false" ht="34.5" hidden="false" customHeight="true" outlineLevel="0" collapsed="false">
      <c r="A177" s="23" t="n">
        <v>22</v>
      </c>
      <c r="B177" s="23" t="s">
        <v>233</v>
      </c>
      <c r="C177" s="24" t="n">
        <v>46412</v>
      </c>
      <c r="D177" s="23" t="s">
        <v>99</v>
      </c>
      <c r="E177" s="23" t="s">
        <v>100</v>
      </c>
      <c r="F177" s="25" t="s">
        <v>101</v>
      </c>
      <c r="G177" s="23" t="n">
        <v>75</v>
      </c>
      <c r="H177" s="26"/>
      <c r="I177" s="27"/>
      <c r="J177" s="23"/>
      <c r="K177" s="23"/>
      <c r="L177" s="23" t="n">
        <v>6</v>
      </c>
      <c r="M177" s="28" t="n">
        <f aca="false">G177*L177</f>
        <v>450</v>
      </c>
      <c r="N177" s="25" t="s">
        <v>234</v>
      </c>
      <c r="O177" s="13"/>
      <c r="P177" s="13"/>
      <c r="Q177" s="14" t="str">
        <f aca="false">IF(P177="","",G177*P177)</f>
        <v/>
      </c>
      <c r="R177" s="13"/>
    </row>
    <row r="178" customFormat="false" ht="23.25" hidden="false" customHeight="true" outlineLevel="0" collapsed="false">
      <c r="A178" s="29" t="n">
        <v>22</v>
      </c>
      <c r="B178" s="29" t="s">
        <v>233</v>
      </c>
      <c r="C178" s="30" t="n">
        <v>46413</v>
      </c>
      <c r="D178" s="29" t="s">
        <v>103</v>
      </c>
      <c r="E178" s="29" t="s">
        <v>104</v>
      </c>
      <c r="F178" s="31" t="s">
        <v>105</v>
      </c>
      <c r="G178" s="29" t="n">
        <v>105</v>
      </c>
      <c r="H178" s="32"/>
      <c r="I178" s="33" t="n">
        <v>4800</v>
      </c>
      <c r="J178" s="29"/>
      <c r="K178" s="29"/>
      <c r="L178" s="29" t="n">
        <v>5</v>
      </c>
      <c r="M178" s="34" t="n">
        <f aca="false">G178*L178</f>
        <v>525</v>
      </c>
      <c r="N178" s="31" t="s">
        <v>264</v>
      </c>
      <c r="O178" s="13"/>
      <c r="P178" s="13"/>
      <c r="Q178" s="14" t="str">
        <f aca="false">IF(P178="","",G178*P178)</f>
        <v/>
      </c>
      <c r="R178" s="13"/>
    </row>
    <row r="179" customFormat="false" ht="23.25" hidden="false" customHeight="true" outlineLevel="0" collapsed="false">
      <c r="A179" s="35" t="n">
        <v>22</v>
      </c>
      <c r="B179" s="35" t="s">
        <v>233</v>
      </c>
      <c r="C179" s="36" t="n">
        <v>46413</v>
      </c>
      <c r="D179" s="35" t="s">
        <v>107</v>
      </c>
      <c r="E179" s="35" t="s">
        <v>108</v>
      </c>
      <c r="F179" s="37" t="s">
        <v>135</v>
      </c>
      <c r="G179" s="35" t="n">
        <v>45</v>
      </c>
      <c r="H179" s="38"/>
      <c r="I179" s="39"/>
      <c r="J179" s="35"/>
      <c r="K179" s="35"/>
      <c r="L179" s="35" t="n">
        <v>3</v>
      </c>
      <c r="M179" s="40" t="n">
        <f aca="false">G179*L179</f>
        <v>135</v>
      </c>
      <c r="N179" s="37" t="s">
        <v>136</v>
      </c>
      <c r="O179" s="13"/>
      <c r="P179" s="13"/>
      <c r="Q179" s="14" t="str">
        <f aca="false">IF(P179="","",G179*P179)</f>
        <v/>
      </c>
      <c r="R179" s="13"/>
    </row>
    <row r="180" customFormat="false" ht="23.25" hidden="false" customHeight="true" outlineLevel="0" collapsed="false">
      <c r="A180" s="7" t="n">
        <v>22</v>
      </c>
      <c r="B180" s="7" t="s">
        <v>233</v>
      </c>
      <c r="C180" s="8" t="n">
        <v>46414</v>
      </c>
      <c r="D180" s="7" t="s">
        <v>111</v>
      </c>
      <c r="E180" s="7" t="s">
        <v>90</v>
      </c>
      <c r="F180" s="9" t="s">
        <v>275</v>
      </c>
      <c r="G180" s="7" t="n">
        <v>73</v>
      </c>
      <c r="H180" s="10" t="n">
        <v>13</v>
      </c>
      <c r="I180" s="11"/>
      <c r="J180" s="7" t="s">
        <v>191</v>
      </c>
      <c r="K180" s="7" t="str">
        <f aca="false">"EF "&amp;TEXT((Allures!$C$15+75)/86400,"mm:ss")&amp;" · "&amp;"All. 5 km / VMA "&amp;TEXT((Allures!$C$15-10)/86400,"mm:ss")</f>
        <v>EF 05:24 · All. 5 km / VMA 03:59</v>
      </c>
      <c r="L180" s="7" t="n">
        <v>9</v>
      </c>
      <c r="M180" s="12" t="n">
        <f aca="false">G180*L180</f>
        <v>657</v>
      </c>
      <c r="N180" s="9" t="s">
        <v>276</v>
      </c>
      <c r="O180" s="13"/>
      <c r="P180" s="13"/>
      <c r="Q180" s="14" t="str">
        <f aca="false">IF(P180="","",G180*P180)</f>
        <v/>
      </c>
      <c r="R180" s="13"/>
    </row>
    <row r="181" customFormat="false" ht="23.25" hidden="false" customHeight="true" outlineLevel="0" collapsed="false">
      <c r="A181" s="23" t="n">
        <v>22</v>
      </c>
      <c r="B181" s="23" t="s">
        <v>233</v>
      </c>
      <c r="C181" s="24" t="n">
        <v>46415</v>
      </c>
      <c r="D181" s="23" t="s">
        <v>114</v>
      </c>
      <c r="E181" s="23" t="s">
        <v>100</v>
      </c>
      <c r="F181" s="25" t="s">
        <v>152</v>
      </c>
      <c r="G181" s="23" t="n">
        <v>60</v>
      </c>
      <c r="H181" s="26" t="n">
        <v>2</v>
      </c>
      <c r="I181" s="27"/>
      <c r="J181" s="23"/>
      <c r="K181" s="23"/>
      <c r="L181" s="23" t="n">
        <v>6</v>
      </c>
      <c r="M181" s="28" t="n">
        <f aca="false">G181*L181</f>
        <v>360</v>
      </c>
      <c r="N181" s="25" t="s">
        <v>239</v>
      </c>
      <c r="O181" s="13"/>
      <c r="P181" s="13"/>
      <c r="Q181" s="14" t="str">
        <f aca="false">IF(P181="","",G181*P181)</f>
        <v/>
      </c>
      <c r="R181" s="13"/>
    </row>
    <row r="182" customFormat="false" ht="15" hidden="false" customHeight="true" outlineLevel="0" collapsed="false">
      <c r="A182" s="29" t="n">
        <v>22</v>
      </c>
      <c r="B182" s="29" t="s">
        <v>233</v>
      </c>
      <c r="C182" s="30" t="n">
        <v>46416</v>
      </c>
      <c r="D182" s="29" t="s">
        <v>116</v>
      </c>
      <c r="E182" s="29" t="s">
        <v>104</v>
      </c>
      <c r="F182" s="31" t="s">
        <v>132</v>
      </c>
      <c r="G182" s="29" t="n">
        <v>85</v>
      </c>
      <c r="H182" s="32"/>
      <c r="I182" s="33" t="n">
        <v>4000</v>
      </c>
      <c r="J182" s="29"/>
      <c r="K182" s="29"/>
      <c r="L182" s="29" t="n">
        <v>4</v>
      </c>
      <c r="M182" s="34" t="n">
        <f aca="false">G182*L182</f>
        <v>340</v>
      </c>
      <c r="N182" s="31" t="s">
        <v>267</v>
      </c>
      <c r="O182" s="13"/>
      <c r="P182" s="13"/>
      <c r="Q182" s="14" t="str">
        <f aca="false">IF(P182="","",G182*P182)</f>
        <v/>
      </c>
      <c r="R182" s="13"/>
    </row>
    <row r="183" customFormat="false" ht="15" hidden="false" customHeight="true" outlineLevel="0" collapsed="false">
      <c r="A183" s="7" t="n">
        <v>22</v>
      </c>
      <c r="B183" s="7" t="s">
        <v>233</v>
      </c>
      <c r="C183" s="8" t="n">
        <v>46416</v>
      </c>
      <c r="D183" s="7" t="s">
        <v>116</v>
      </c>
      <c r="E183" s="7" t="s">
        <v>90</v>
      </c>
      <c r="F183" s="9" t="s">
        <v>178</v>
      </c>
      <c r="G183" s="7" t="n">
        <v>58</v>
      </c>
      <c r="H183" s="10" t="n">
        <v>10</v>
      </c>
      <c r="I183" s="11"/>
      <c r="J183" s="7" t="s">
        <v>179</v>
      </c>
      <c r="K183" s="7" t="str">
        <f aca="false">"Récup "&amp;TEXT((Allures!$C$15+95)/86400,"mm:ss")</f>
        <v>Récup 05:44</v>
      </c>
      <c r="L183" s="7" t="n">
        <v>3</v>
      </c>
      <c r="M183" s="12" t="n">
        <f aca="false">G183*L183</f>
        <v>174</v>
      </c>
      <c r="N183" s="9" t="s">
        <v>187</v>
      </c>
      <c r="O183" s="13"/>
      <c r="P183" s="13"/>
      <c r="Q183" s="14" t="str">
        <f aca="false">IF(P183="","",G183*P183)</f>
        <v/>
      </c>
      <c r="R183" s="13"/>
    </row>
    <row r="184" customFormat="false" ht="15" hidden="false" customHeight="true" outlineLevel="0" collapsed="false">
      <c r="A184" s="7" t="n">
        <v>22</v>
      </c>
      <c r="B184" s="7" t="s">
        <v>233</v>
      </c>
      <c r="C184" s="8" t="n">
        <v>46417</v>
      </c>
      <c r="D184" s="7" t="s">
        <v>89</v>
      </c>
      <c r="E184" s="7" t="s">
        <v>90</v>
      </c>
      <c r="F184" s="9" t="s">
        <v>137</v>
      </c>
      <c r="G184" s="7" t="n">
        <v>91</v>
      </c>
      <c r="H184" s="10" t="n">
        <v>16</v>
      </c>
      <c r="I184" s="11"/>
      <c r="J184" s="7" t="s">
        <v>241</v>
      </c>
      <c r="K184" s="7" t="str">
        <f aca="false">"EF "&amp;TEXT((Allures!$C$15+75)/86400,"mm:ss")&amp;" · "&amp;"All. marathon "&amp;TEXT((Allures!$C$15+30)/86400,"mm:ss")</f>
        <v>EF 05:24 · All. marathon 04:39</v>
      </c>
      <c r="L184" s="7" t="n">
        <v>5</v>
      </c>
      <c r="M184" s="12" t="n">
        <f aca="false">G184*L184</f>
        <v>455</v>
      </c>
      <c r="N184" s="9" t="s">
        <v>242</v>
      </c>
      <c r="O184" s="13"/>
      <c r="P184" s="13"/>
      <c r="Q184" s="14" t="str">
        <f aca="false">IF(P184="","",G184*P184)</f>
        <v/>
      </c>
      <c r="R184" s="13"/>
    </row>
    <row r="185" customFormat="false" ht="15" hidden="false" customHeight="true" outlineLevel="0" collapsed="false">
      <c r="A185" s="15" t="n">
        <v>22</v>
      </c>
      <c r="B185" s="15" t="s">
        <v>233</v>
      </c>
      <c r="C185" s="16" t="n">
        <v>46418</v>
      </c>
      <c r="D185" s="15" t="s">
        <v>94</v>
      </c>
      <c r="E185" s="15" t="s">
        <v>95</v>
      </c>
      <c r="F185" s="17" t="s">
        <v>96</v>
      </c>
      <c r="G185" s="15" t="n">
        <v>0</v>
      </c>
      <c r="H185" s="18"/>
      <c r="I185" s="19"/>
      <c r="J185" s="15"/>
      <c r="K185" s="15"/>
      <c r="L185" s="15" t="n">
        <v>0</v>
      </c>
      <c r="M185" s="20" t="n">
        <f aca="false">G185*L185</f>
        <v>0</v>
      </c>
      <c r="N185" s="17" t="s">
        <v>139</v>
      </c>
      <c r="O185" s="21"/>
      <c r="P185" s="21"/>
      <c r="Q185" s="22" t="str">
        <f aca="false">IF(P185="","",G185*P185)</f>
        <v/>
      </c>
      <c r="R185" s="21"/>
    </row>
    <row r="186" customFormat="false" ht="34.5" hidden="false" customHeight="true" outlineLevel="0" collapsed="false">
      <c r="A186" s="23" t="n">
        <v>23</v>
      </c>
      <c r="B186" s="23" t="s">
        <v>233</v>
      </c>
      <c r="C186" s="24" t="n">
        <v>46419</v>
      </c>
      <c r="D186" s="23" t="s">
        <v>99</v>
      </c>
      <c r="E186" s="23" t="s">
        <v>100</v>
      </c>
      <c r="F186" s="25" t="s">
        <v>101</v>
      </c>
      <c r="G186" s="23" t="n">
        <v>75</v>
      </c>
      <c r="H186" s="26"/>
      <c r="I186" s="27"/>
      <c r="J186" s="23"/>
      <c r="K186" s="23"/>
      <c r="L186" s="23" t="n">
        <v>6</v>
      </c>
      <c r="M186" s="28" t="n">
        <f aca="false">G186*L186</f>
        <v>450</v>
      </c>
      <c r="N186" s="25" t="s">
        <v>234</v>
      </c>
      <c r="O186" s="13"/>
      <c r="P186" s="13"/>
      <c r="Q186" s="14" t="str">
        <f aca="false">IF(P186="","",G186*P186)</f>
        <v/>
      </c>
      <c r="R186" s="13"/>
    </row>
    <row r="187" customFormat="false" ht="23.25" hidden="false" customHeight="true" outlineLevel="0" collapsed="false">
      <c r="A187" s="29" t="n">
        <v>23</v>
      </c>
      <c r="B187" s="29" t="s">
        <v>233</v>
      </c>
      <c r="C187" s="30" t="n">
        <v>46420</v>
      </c>
      <c r="D187" s="29" t="s">
        <v>103</v>
      </c>
      <c r="E187" s="29" t="s">
        <v>104</v>
      </c>
      <c r="F187" s="31" t="s">
        <v>105</v>
      </c>
      <c r="G187" s="29" t="n">
        <v>105</v>
      </c>
      <c r="H187" s="32"/>
      <c r="I187" s="33" t="n">
        <v>4800</v>
      </c>
      <c r="J187" s="29"/>
      <c r="K187" s="29"/>
      <c r="L187" s="29" t="n">
        <v>5</v>
      </c>
      <c r="M187" s="34" t="n">
        <f aca="false">G187*L187</f>
        <v>525</v>
      </c>
      <c r="N187" s="31" t="s">
        <v>264</v>
      </c>
      <c r="O187" s="13"/>
      <c r="P187" s="13"/>
      <c r="Q187" s="14" t="str">
        <f aca="false">IF(P187="","",G187*P187)</f>
        <v/>
      </c>
      <c r="R187" s="13"/>
    </row>
    <row r="188" customFormat="false" ht="23.25" hidden="false" customHeight="true" outlineLevel="0" collapsed="false">
      <c r="A188" s="35" t="n">
        <v>23</v>
      </c>
      <c r="B188" s="35" t="s">
        <v>233</v>
      </c>
      <c r="C188" s="36" t="n">
        <v>46420</v>
      </c>
      <c r="D188" s="35" t="s">
        <v>107</v>
      </c>
      <c r="E188" s="35" t="s">
        <v>108</v>
      </c>
      <c r="F188" s="37" t="s">
        <v>135</v>
      </c>
      <c r="G188" s="35" t="n">
        <v>45</v>
      </c>
      <c r="H188" s="38"/>
      <c r="I188" s="39"/>
      <c r="J188" s="35"/>
      <c r="K188" s="35"/>
      <c r="L188" s="35" t="n">
        <v>3</v>
      </c>
      <c r="M188" s="40" t="n">
        <f aca="false">G188*L188</f>
        <v>135</v>
      </c>
      <c r="N188" s="37" t="s">
        <v>136</v>
      </c>
      <c r="O188" s="13"/>
      <c r="P188" s="13"/>
      <c r="Q188" s="14" t="str">
        <f aca="false">IF(P188="","",G188*P188)</f>
        <v/>
      </c>
      <c r="R188" s="13"/>
    </row>
    <row r="189" customFormat="false" ht="23.25" hidden="false" customHeight="true" outlineLevel="0" collapsed="false">
      <c r="A189" s="7" t="n">
        <v>23</v>
      </c>
      <c r="B189" s="7" t="s">
        <v>233</v>
      </c>
      <c r="C189" s="8" t="n">
        <v>46421</v>
      </c>
      <c r="D189" s="7" t="s">
        <v>111</v>
      </c>
      <c r="E189" s="7" t="s">
        <v>90</v>
      </c>
      <c r="F189" s="9" t="s">
        <v>277</v>
      </c>
      <c r="G189" s="7" t="n">
        <v>79</v>
      </c>
      <c r="H189" s="10" t="n">
        <v>14</v>
      </c>
      <c r="I189" s="11"/>
      <c r="J189" s="7" t="s">
        <v>174</v>
      </c>
      <c r="K189" s="7" t="str">
        <f aca="false">"EF "&amp;TEXT((Allures!$C$15+75)/86400,"mm:ss")&amp;" · "&amp;"Seuil "&amp;TEXT((Allures!$C$15+10)/86400,"mm:ss")</f>
        <v>EF 05:24 · Seuil 04:19</v>
      </c>
      <c r="L189" s="7" t="n">
        <v>8</v>
      </c>
      <c r="M189" s="12" t="n">
        <f aca="false">G189*L189</f>
        <v>632</v>
      </c>
      <c r="N189" s="9" t="s">
        <v>278</v>
      </c>
      <c r="O189" s="13"/>
      <c r="P189" s="13"/>
      <c r="Q189" s="14" t="str">
        <f aca="false">IF(P189="","",G189*P189)</f>
        <v/>
      </c>
      <c r="R189" s="13"/>
    </row>
    <row r="190" customFormat="false" ht="23.25" hidden="false" customHeight="true" outlineLevel="0" collapsed="false">
      <c r="A190" s="23" t="n">
        <v>23</v>
      </c>
      <c r="B190" s="23" t="s">
        <v>233</v>
      </c>
      <c r="C190" s="24" t="n">
        <v>46422</v>
      </c>
      <c r="D190" s="23" t="s">
        <v>114</v>
      </c>
      <c r="E190" s="23" t="s">
        <v>100</v>
      </c>
      <c r="F190" s="25" t="s">
        <v>152</v>
      </c>
      <c r="G190" s="23" t="n">
        <v>60</v>
      </c>
      <c r="H190" s="26" t="n">
        <v>2</v>
      </c>
      <c r="I190" s="27"/>
      <c r="J190" s="23"/>
      <c r="K190" s="23"/>
      <c r="L190" s="23" t="n">
        <v>6</v>
      </c>
      <c r="M190" s="28" t="n">
        <f aca="false">G190*L190</f>
        <v>360</v>
      </c>
      <c r="N190" s="25" t="s">
        <v>239</v>
      </c>
      <c r="O190" s="13"/>
      <c r="P190" s="13"/>
      <c r="Q190" s="14" t="str">
        <f aca="false">IF(P190="","",G190*P190)</f>
        <v/>
      </c>
      <c r="R190" s="13"/>
    </row>
    <row r="191" customFormat="false" ht="15" hidden="false" customHeight="true" outlineLevel="0" collapsed="false">
      <c r="A191" s="29" t="n">
        <v>23</v>
      </c>
      <c r="B191" s="29" t="s">
        <v>233</v>
      </c>
      <c r="C191" s="30" t="n">
        <v>46423</v>
      </c>
      <c r="D191" s="29" t="s">
        <v>116</v>
      </c>
      <c r="E191" s="29" t="s">
        <v>104</v>
      </c>
      <c r="F191" s="31" t="s">
        <v>132</v>
      </c>
      <c r="G191" s="29" t="n">
        <v>85</v>
      </c>
      <c r="H191" s="32"/>
      <c r="I191" s="33" t="n">
        <v>4000</v>
      </c>
      <c r="J191" s="29"/>
      <c r="K191" s="29"/>
      <c r="L191" s="29" t="n">
        <v>4</v>
      </c>
      <c r="M191" s="34" t="n">
        <f aca="false">G191*L191</f>
        <v>340</v>
      </c>
      <c r="N191" s="31" t="s">
        <v>267</v>
      </c>
      <c r="O191" s="13"/>
      <c r="P191" s="13"/>
      <c r="Q191" s="14" t="str">
        <f aca="false">IF(P191="","",G191*P191)</f>
        <v/>
      </c>
      <c r="R191" s="13"/>
    </row>
    <row r="192" customFormat="false" ht="15" hidden="false" customHeight="true" outlineLevel="0" collapsed="false">
      <c r="A192" s="7" t="n">
        <v>23</v>
      </c>
      <c r="B192" s="7" t="s">
        <v>233</v>
      </c>
      <c r="C192" s="8" t="n">
        <v>46423</v>
      </c>
      <c r="D192" s="7" t="s">
        <v>116</v>
      </c>
      <c r="E192" s="7" t="s">
        <v>90</v>
      </c>
      <c r="F192" s="9" t="s">
        <v>178</v>
      </c>
      <c r="G192" s="7" t="n">
        <v>58</v>
      </c>
      <c r="H192" s="10" t="n">
        <v>10</v>
      </c>
      <c r="I192" s="11"/>
      <c r="J192" s="7" t="s">
        <v>179</v>
      </c>
      <c r="K192" s="7" t="str">
        <f aca="false">"Récup "&amp;TEXT((Allures!$C$15+95)/86400,"mm:ss")</f>
        <v>Récup 05:44</v>
      </c>
      <c r="L192" s="7" t="n">
        <v>3</v>
      </c>
      <c r="M192" s="12" t="n">
        <f aca="false">G192*L192</f>
        <v>174</v>
      </c>
      <c r="N192" s="9" t="s">
        <v>187</v>
      </c>
      <c r="O192" s="13"/>
      <c r="P192" s="13"/>
      <c r="Q192" s="14" t="str">
        <f aca="false">IF(P192="","",G192*P192)</f>
        <v/>
      </c>
      <c r="R192" s="13"/>
    </row>
    <row r="193" customFormat="false" ht="15" hidden="false" customHeight="true" outlineLevel="0" collapsed="false">
      <c r="A193" s="7" t="n">
        <v>23</v>
      </c>
      <c r="B193" s="7" t="s">
        <v>233</v>
      </c>
      <c r="C193" s="8" t="n">
        <v>46424</v>
      </c>
      <c r="D193" s="7" t="s">
        <v>89</v>
      </c>
      <c r="E193" s="7" t="s">
        <v>90</v>
      </c>
      <c r="F193" s="9" t="s">
        <v>137</v>
      </c>
      <c r="G193" s="7" t="n">
        <v>114</v>
      </c>
      <c r="H193" s="10" t="n">
        <v>20</v>
      </c>
      <c r="I193" s="11"/>
      <c r="J193" s="7" t="s">
        <v>241</v>
      </c>
      <c r="K193" s="7" t="str">
        <f aca="false">"EF "&amp;TEXT((Allures!$C$15+75)/86400,"mm:ss")&amp;" · "&amp;"All. marathon "&amp;TEXT((Allures!$C$15+30)/86400,"mm:ss")</f>
        <v>EF 05:24 · All. marathon 04:39</v>
      </c>
      <c r="L193" s="7" t="n">
        <v>5</v>
      </c>
      <c r="M193" s="12" t="n">
        <f aca="false">G193*L193</f>
        <v>570</v>
      </c>
      <c r="N193" s="9" t="s">
        <v>270</v>
      </c>
      <c r="O193" s="13"/>
      <c r="P193" s="13"/>
      <c r="Q193" s="14" t="str">
        <f aca="false">IF(P193="","",G193*P193)</f>
        <v/>
      </c>
      <c r="R193" s="13"/>
    </row>
    <row r="194" customFormat="false" ht="15" hidden="false" customHeight="true" outlineLevel="0" collapsed="false">
      <c r="A194" s="15" t="n">
        <v>23</v>
      </c>
      <c r="B194" s="15" t="s">
        <v>233</v>
      </c>
      <c r="C194" s="16" t="n">
        <v>46425</v>
      </c>
      <c r="D194" s="15" t="s">
        <v>94</v>
      </c>
      <c r="E194" s="15" t="s">
        <v>95</v>
      </c>
      <c r="F194" s="17" t="s">
        <v>96</v>
      </c>
      <c r="G194" s="15" t="n">
        <v>0</v>
      </c>
      <c r="H194" s="18"/>
      <c r="I194" s="19"/>
      <c r="J194" s="15"/>
      <c r="K194" s="15"/>
      <c r="L194" s="15" t="n">
        <v>0</v>
      </c>
      <c r="M194" s="20" t="n">
        <f aca="false">G194*L194</f>
        <v>0</v>
      </c>
      <c r="N194" s="17" t="s">
        <v>139</v>
      </c>
      <c r="O194" s="21"/>
      <c r="P194" s="21"/>
      <c r="Q194" s="22" t="str">
        <f aca="false">IF(P194="","",G194*P194)</f>
        <v/>
      </c>
      <c r="R194" s="21"/>
    </row>
    <row r="195" customFormat="false" ht="23.25" hidden="false" customHeight="true" outlineLevel="0" collapsed="false">
      <c r="A195" s="23" t="n">
        <v>24</v>
      </c>
      <c r="B195" s="23" t="s">
        <v>279</v>
      </c>
      <c r="C195" s="24" t="n">
        <v>46426</v>
      </c>
      <c r="D195" s="23" t="s">
        <v>99</v>
      </c>
      <c r="E195" s="23" t="s">
        <v>100</v>
      </c>
      <c r="F195" s="25" t="s">
        <v>101</v>
      </c>
      <c r="G195" s="23" t="n">
        <v>50</v>
      </c>
      <c r="H195" s="26"/>
      <c r="I195" s="27"/>
      <c r="J195" s="23"/>
      <c r="K195" s="23"/>
      <c r="L195" s="23" t="n">
        <v>5</v>
      </c>
      <c r="M195" s="28" t="n">
        <f aca="false">G195*L195</f>
        <v>250</v>
      </c>
      <c r="N195" s="25" t="s">
        <v>280</v>
      </c>
      <c r="O195" s="13"/>
      <c r="P195" s="13"/>
      <c r="Q195" s="14" t="str">
        <f aca="false">IF(P195="","",G195*P195)</f>
        <v/>
      </c>
      <c r="R195" s="13"/>
    </row>
    <row r="196" customFormat="false" ht="23.25" hidden="false" customHeight="true" outlineLevel="0" collapsed="false">
      <c r="A196" s="29" t="n">
        <v>24</v>
      </c>
      <c r="B196" s="29" t="s">
        <v>279</v>
      </c>
      <c r="C196" s="30" t="n">
        <v>46427</v>
      </c>
      <c r="D196" s="29" t="s">
        <v>141</v>
      </c>
      <c r="E196" s="29" t="s">
        <v>104</v>
      </c>
      <c r="F196" s="31" t="s">
        <v>105</v>
      </c>
      <c r="G196" s="29" t="n">
        <v>90</v>
      </c>
      <c r="H196" s="32"/>
      <c r="I196" s="33" t="n">
        <v>4000</v>
      </c>
      <c r="J196" s="29"/>
      <c r="K196" s="29"/>
      <c r="L196" s="29" t="n">
        <v>5</v>
      </c>
      <c r="M196" s="34" t="n">
        <f aca="false">G196*L196</f>
        <v>450</v>
      </c>
      <c r="N196" s="31" t="s">
        <v>271</v>
      </c>
      <c r="O196" s="13"/>
      <c r="P196" s="13"/>
      <c r="Q196" s="14" t="str">
        <f aca="false">IF(P196="","",G196*P196)</f>
        <v/>
      </c>
      <c r="R196" s="13"/>
    </row>
    <row r="197" customFormat="false" ht="15" hidden="false" customHeight="true" outlineLevel="0" collapsed="false">
      <c r="A197" s="7" t="n">
        <v>24</v>
      </c>
      <c r="B197" s="7" t="s">
        <v>279</v>
      </c>
      <c r="C197" s="8" t="n">
        <v>46428</v>
      </c>
      <c r="D197" s="7" t="s">
        <v>111</v>
      </c>
      <c r="E197" s="7" t="s">
        <v>90</v>
      </c>
      <c r="F197" s="9" t="s">
        <v>215</v>
      </c>
      <c r="G197" s="7" t="n">
        <v>63</v>
      </c>
      <c r="H197" s="10" t="n">
        <v>11</v>
      </c>
      <c r="I197" s="11"/>
      <c r="J197" s="7" t="s">
        <v>237</v>
      </c>
      <c r="K197" s="7" t="str">
        <f aca="false">"EF "&amp;TEXT((Allures!$C$16+75)/86400,"mm:ss")&amp;" · "&amp;"All. 10 km "&amp;TEXT((Allures!$C$16+0)/86400,"mm:ss")</f>
        <v>EF 04:51 · All. 10 km 03:36</v>
      </c>
      <c r="L197" s="7" t="n">
        <v>6</v>
      </c>
      <c r="M197" s="12" t="n">
        <f aca="false">G197*L197</f>
        <v>378</v>
      </c>
      <c r="N197" s="9" t="s">
        <v>281</v>
      </c>
      <c r="O197" s="13"/>
      <c r="P197" s="13"/>
      <c r="Q197" s="14" t="str">
        <f aca="false">IF(P197="","",G197*P197)</f>
        <v/>
      </c>
      <c r="R197" s="13"/>
    </row>
    <row r="198" customFormat="false" ht="15" hidden="false" customHeight="true" outlineLevel="0" collapsed="false">
      <c r="A198" s="15" t="n">
        <v>24</v>
      </c>
      <c r="B198" s="15" t="s">
        <v>279</v>
      </c>
      <c r="C198" s="16" t="n">
        <v>46429</v>
      </c>
      <c r="D198" s="15" t="s">
        <v>114</v>
      </c>
      <c r="E198" s="15" t="s">
        <v>95</v>
      </c>
      <c r="F198" s="17" t="s">
        <v>95</v>
      </c>
      <c r="G198" s="15" t="n">
        <v>0</v>
      </c>
      <c r="H198" s="18"/>
      <c r="I198" s="19"/>
      <c r="J198" s="15"/>
      <c r="K198" s="15"/>
      <c r="L198" s="15" t="n">
        <v>0</v>
      </c>
      <c r="M198" s="20" t="n">
        <f aca="false">G198*L198</f>
        <v>0</v>
      </c>
      <c r="N198" s="17" t="s">
        <v>282</v>
      </c>
      <c r="O198" s="21"/>
      <c r="P198" s="21"/>
      <c r="Q198" s="22" t="str">
        <f aca="false">IF(P198="","",G198*P198)</f>
        <v/>
      </c>
      <c r="R198" s="21"/>
    </row>
    <row r="199" customFormat="false" ht="15" hidden="false" customHeight="true" outlineLevel="0" collapsed="false">
      <c r="A199" s="29" t="n">
        <v>24</v>
      </c>
      <c r="B199" s="29" t="s">
        <v>279</v>
      </c>
      <c r="C199" s="30" t="n">
        <v>46430</v>
      </c>
      <c r="D199" s="29" t="s">
        <v>116</v>
      </c>
      <c r="E199" s="29" t="s">
        <v>104</v>
      </c>
      <c r="F199" s="31" t="s">
        <v>132</v>
      </c>
      <c r="G199" s="29" t="n">
        <v>70</v>
      </c>
      <c r="H199" s="32"/>
      <c r="I199" s="33" t="n">
        <v>3400</v>
      </c>
      <c r="J199" s="29"/>
      <c r="K199" s="29"/>
      <c r="L199" s="29" t="n">
        <v>4</v>
      </c>
      <c r="M199" s="34" t="n">
        <f aca="false">G199*L199</f>
        <v>280</v>
      </c>
      <c r="N199" s="31" t="s">
        <v>274</v>
      </c>
      <c r="O199" s="13"/>
      <c r="P199" s="13"/>
      <c r="Q199" s="14" t="str">
        <f aca="false">IF(P199="","",G199*P199)</f>
        <v/>
      </c>
      <c r="R199" s="13"/>
    </row>
    <row r="200" customFormat="false" ht="15" hidden="false" customHeight="true" outlineLevel="0" collapsed="false">
      <c r="A200" s="15" t="n">
        <v>24</v>
      </c>
      <c r="B200" s="15" t="s">
        <v>279</v>
      </c>
      <c r="C200" s="16" t="n">
        <v>46431</v>
      </c>
      <c r="D200" s="15" t="s">
        <v>89</v>
      </c>
      <c r="E200" s="15" t="s">
        <v>95</v>
      </c>
      <c r="F200" s="17" t="s">
        <v>166</v>
      </c>
      <c r="G200" s="15" t="n">
        <v>0</v>
      </c>
      <c r="H200" s="18"/>
      <c r="I200" s="19"/>
      <c r="J200" s="15"/>
      <c r="K200" s="15"/>
      <c r="L200" s="15" t="n">
        <v>0</v>
      </c>
      <c r="M200" s="20" t="n">
        <f aca="false">G200*L200</f>
        <v>0</v>
      </c>
      <c r="N200" s="17" t="s">
        <v>219</v>
      </c>
      <c r="O200" s="21"/>
      <c r="P200" s="21"/>
      <c r="Q200" s="22" t="str">
        <f aca="false">IF(P200="","",G200*P200)</f>
        <v/>
      </c>
      <c r="R200" s="21"/>
    </row>
    <row r="201" customFormat="false" ht="34.5" hidden="false" customHeight="true" outlineLevel="0" collapsed="false">
      <c r="A201" s="7" t="n">
        <v>24</v>
      </c>
      <c r="B201" s="7" t="s">
        <v>279</v>
      </c>
      <c r="C201" s="8" t="n">
        <v>46432</v>
      </c>
      <c r="D201" s="7" t="s">
        <v>94</v>
      </c>
      <c r="E201" s="7" t="s">
        <v>90</v>
      </c>
      <c r="F201" s="9" t="s">
        <v>283</v>
      </c>
      <c r="G201" s="7" t="n">
        <v>38</v>
      </c>
      <c r="H201" s="10" t="n">
        <v>10</v>
      </c>
      <c r="I201" s="11"/>
      <c r="J201" s="7" t="s">
        <v>231</v>
      </c>
      <c r="K201" s="7" t="str">
        <f aca="false">"All. 10 km "&amp;TEXT((Allures!$C$16+0)/86400,"mm:ss")</f>
        <v>All. 10 km 03:36</v>
      </c>
      <c r="L201" s="7" t="n">
        <v>10</v>
      </c>
      <c r="M201" s="12" t="n">
        <f aca="false">G201*L201</f>
        <v>380</v>
      </c>
      <c r="N201" s="9" t="s">
        <v>284</v>
      </c>
      <c r="O201" s="13"/>
      <c r="P201" s="13"/>
      <c r="Q201" s="14" t="str">
        <f aca="false">IF(P201="","",G201*P201)</f>
        <v/>
      </c>
      <c r="R201" s="13"/>
    </row>
    <row r="202" customFormat="false" ht="34.5" hidden="false" customHeight="true" outlineLevel="0" collapsed="false">
      <c r="A202" s="23" t="n">
        <v>25</v>
      </c>
      <c r="B202" s="23" t="s">
        <v>285</v>
      </c>
      <c r="C202" s="24" t="n">
        <v>46433</v>
      </c>
      <c r="D202" s="23" t="s">
        <v>99</v>
      </c>
      <c r="E202" s="23" t="s">
        <v>100</v>
      </c>
      <c r="F202" s="25" t="s">
        <v>101</v>
      </c>
      <c r="G202" s="23" t="n">
        <v>75</v>
      </c>
      <c r="H202" s="26"/>
      <c r="I202" s="27"/>
      <c r="J202" s="23"/>
      <c r="K202" s="23"/>
      <c r="L202" s="23" t="n">
        <v>6</v>
      </c>
      <c r="M202" s="28" t="n">
        <f aca="false">G202*L202</f>
        <v>450</v>
      </c>
      <c r="N202" s="25" t="s">
        <v>234</v>
      </c>
      <c r="O202" s="13"/>
      <c r="P202" s="13"/>
      <c r="Q202" s="14" t="str">
        <f aca="false">IF(P202="","",G202*P202)</f>
        <v/>
      </c>
      <c r="R202" s="13"/>
    </row>
    <row r="203" customFormat="false" ht="23.25" hidden="false" customHeight="true" outlineLevel="0" collapsed="false">
      <c r="A203" s="29" t="n">
        <v>25</v>
      </c>
      <c r="B203" s="29" t="s">
        <v>285</v>
      </c>
      <c r="C203" s="30" t="n">
        <v>46434</v>
      </c>
      <c r="D203" s="29" t="s">
        <v>103</v>
      </c>
      <c r="E203" s="29" t="s">
        <v>104</v>
      </c>
      <c r="F203" s="31" t="s">
        <v>105</v>
      </c>
      <c r="G203" s="29" t="n">
        <v>105</v>
      </c>
      <c r="H203" s="32"/>
      <c r="I203" s="33" t="n">
        <v>4800</v>
      </c>
      <c r="J203" s="29"/>
      <c r="K203" s="29"/>
      <c r="L203" s="29" t="n">
        <v>5</v>
      </c>
      <c r="M203" s="34" t="n">
        <f aca="false">G203*L203</f>
        <v>525</v>
      </c>
      <c r="N203" s="31" t="s">
        <v>264</v>
      </c>
      <c r="O203" s="13"/>
      <c r="P203" s="13"/>
      <c r="Q203" s="14" t="str">
        <f aca="false">IF(P203="","",G203*P203)</f>
        <v/>
      </c>
      <c r="R203" s="13"/>
    </row>
    <row r="204" customFormat="false" ht="23.25" hidden="false" customHeight="true" outlineLevel="0" collapsed="false">
      <c r="A204" s="35" t="n">
        <v>25</v>
      </c>
      <c r="B204" s="35" t="s">
        <v>285</v>
      </c>
      <c r="C204" s="36" t="n">
        <v>46434</v>
      </c>
      <c r="D204" s="35" t="s">
        <v>107</v>
      </c>
      <c r="E204" s="35" t="s">
        <v>108</v>
      </c>
      <c r="F204" s="37" t="s">
        <v>135</v>
      </c>
      <c r="G204" s="35" t="n">
        <v>45</v>
      </c>
      <c r="H204" s="38"/>
      <c r="I204" s="39"/>
      <c r="J204" s="35"/>
      <c r="K204" s="35"/>
      <c r="L204" s="35" t="n">
        <v>3</v>
      </c>
      <c r="M204" s="40" t="n">
        <f aca="false">G204*L204</f>
        <v>135</v>
      </c>
      <c r="N204" s="37" t="s">
        <v>136</v>
      </c>
      <c r="O204" s="13"/>
      <c r="P204" s="13"/>
      <c r="Q204" s="14" t="str">
        <f aca="false">IF(P204="","",G204*P204)</f>
        <v/>
      </c>
      <c r="R204" s="13"/>
    </row>
    <row r="205" customFormat="false" ht="15" hidden="false" customHeight="true" outlineLevel="0" collapsed="false">
      <c r="A205" s="7" t="n">
        <v>25</v>
      </c>
      <c r="B205" s="7" t="s">
        <v>285</v>
      </c>
      <c r="C205" s="8" t="n">
        <v>46435</v>
      </c>
      <c r="D205" s="7" t="s">
        <v>111</v>
      </c>
      <c r="E205" s="7" t="s">
        <v>90</v>
      </c>
      <c r="F205" s="9" t="s">
        <v>250</v>
      </c>
      <c r="G205" s="7" t="n">
        <v>79</v>
      </c>
      <c r="H205" s="10" t="n">
        <v>14</v>
      </c>
      <c r="I205" s="11"/>
      <c r="J205" s="7" t="s">
        <v>237</v>
      </c>
      <c r="K205" s="7" t="str">
        <f aca="false">"EF "&amp;TEXT((Allures!$C$16+75)/86400,"mm:ss")&amp;" · "&amp;"All. 10 km "&amp;TEXT((Allures!$C$16+0)/86400,"mm:ss")</f>
        <v>EF 04:51 · All. 10 km 03:36</v>
      </c>
      <c r="L205" s="7" t="n">
        <v>8</v>
      </c>
      <c r="M205" s="12" t="n">
        <f aca="false">G205*L205</f>
        <v>632</v>
      </c>
      <c r="N205" s="9" t="s">
        <v>286</v>
      </c>
      <c r="O205" s="13"/>
      <c r="P205" s="13"/>
      <c r="Q205" s="14" t="str">
        <f aca="false">IF(P205="","",G205*P205)</f>
        <v/>
      </c>
      <c r="R205" s="13"/>
    </row>
    <row r="206" customFormat="false" ht="23.25" hidden="false" customHeight="true" outlineLevel="0" collapsed="false">
      <c r="A206" s="23" t="n">
        <v>25</v>
      </c>
      <c r="B206" s="23" t="s">
        <v>285</v>
      </c>
      <c r="C206" s="24" t="n">
        <v>46436</v>
      </c>
      <c r="D206" s="23" t="s">
        <v>114</v>
      </c>
      <c r="E206" s="23" t="s">
        <v>100</v>
      </c>
      <c r="F206" s="25" t="s">
        <v>152</v>
      </c>
      <c r="G206" s="23" t="n">
        <v>60</v>
      </c>
      <c r="H206" s="26" t="n">
        <v>2</v>
      </c>
      <c r="I206" s="27"/>
      <c r="J206" s="23"/>
      <c r="K206" s="23"/>
      <c r="L206" s="23" t="n">
        <v>6</v>
      </c>
      <c r="M206" s="28" t="n">
        <f aca="false">G206*L206</f>
        <v>360</v>
      </c>
      <c r="N206" s="25" t="s">
        <v>239</v>
      </c>
      <c r="O206" s="13"/>
      <c r="P206" s="13"/>
      <c r="Q206" s="14" t="str">
        <f aca="false">IF(P206="","",G206*P206)</f>
        <v/>
      </c>
      <c r="R206" s="13"/>
    </row>
    <row r="207" customFormat="false" ht="15" hidden="false" customHeight="true" outlineLevel="0" collapsed="false">
      <c r="A207" s="29" t="n">
        <v>25</v>
      </c>
      <c r="B207" s="29" t="s">
        <v>285</v>
      </c>
      <c r="C207" s="30" t="n">
        <v>46437</v>
      </c>
      <c r="D207" s="29" t="s">
        <v>116</v>
      </c>
      <c r="E207" s="29" t="s">
        <v>104</v>
      </c>
      <c r="F207" s="31" t="s">
        <v>132</v>
      </c>
      <c r="G207" s="29" t="n">
        <v>85</v>
      </c>
      <c r="H207" s="32"/>
      <c r="I207" s="33" t="n">
        <v>4000</v>
      </c>
      <c r="J207" s="29"/>
      <c r="K207" s="29"/>
      <c r="L207" s="29" t="n">
        <v>4</v>
      </c>
      <c r="M207" s="34" t="n">
        <f aca="false">G207*L207</f>
        <v>340</v>
      </c>
      <c r="N207" s="31" t="s">
        <v>267</v>
      </c>
      <c r="O207" s="13"/>
      <c r="P207" s="13"/>
      <c r="Q207" s="14" t="str">
        <f aca="false">IF(P207="","",G207*P207)</f>
        <v/>
      </c>
      <c r="R207" s="13"/>
    </row>
    <row r="208" customFormat="false" ht="15" hidden="false" customHeight="true" outlineLevel="0" collapsed="false">
      <c r="A208" s="7" t="n">
        <v>25</v>
      </c>
      <c r="B208" s="7" t="s">
        <v>285</v>
      </c>
      <c r="C208" s="8" t="n">
        <v>46437</v>
      </c>
      <c r="D208" s="7" t="s">
        <v>116</v>
      </c>
      <c r="E208" s="7" t="s">
        <v>90</v>
      </c>
      <c r="F208" s="9" t="s">
        <v>178</v>
      </c>
      <c r="G208" s="7" t="n">
        <v>58</v>
      </c>
      <c r="H208" s="10" t="n">
        <v>10</v>
      </c>
      <c r="I208" s="11"/>
      <c r="J208" s="7" t="s">
        <v>179</v>
      </c>
      <c r="K208" s="7" t="str">
        <f aca="false">"Récup "&amp;TEXT((Allures!$C$16+95)/86400,"mm:ss")</f>
        <v>Récup 05:11</v>
      </c>
      <c r="L208" s="7" t="n">
        <v>3</v>
      </c>
      <c r="M208" s="12" t="n">
        <f aca="false">G208*L208</f>
        <v>174</v>
      </c>
      <c r="N208" s="9" t="s">
        <v>187</v>
      </c>
      <c r="O208" s="13"/>
      <c r="P208" s="13"/>
      <c r="Q208" s="14" t="str">
        <f aca="false">IF(P208="","",G208*P208)</f>
        <v/>
      </c>
      <c r="R208" s="13"/>
    </row>
    <row r="209" customFormat="false" ht="15" hidden="false" customHeight="true" outlineLevel="0" collapsed="false">
      <c r="A209" s="7" t="n">
        <v>25</v>
      </c>
      <c r="B209" s="7" t="s">
        <v>285</v>
      </c>
      <c r="C209" s="8" t="n">
        <v>46438</v>
      </c>
      <c r="D209" s="7" t="s">
        <v>89</v>
      </c>
      <c r="E209" s="7" t="s">
        <v>90</v>
      </c>
      <c r="F209" s="9" t="s">
        <v>137</v>
      </c>
      <c r="G209" s="7" t="n">
        <v>102</v>
      </c>
      <c r="H209" s="10" t="n">
        <v>18</v>
      </c>
      <c r="I209" s="11"/>
      <c r="J209" s="7" t="s">
        <v>241</v>
      </c>
      <c r="K209" s="7" t="str">
        <f aca="false">"EF "&amp;TEXT((Allures!$C$16+75)/86400,"mm:ss")&amp;" · "&amp;"All. marathon "&amp;TEXT((Allures!$C$16+30)/86400,"mm:ss")</f>
        <v>EF 04:51 · All. marathon 04:06</v>
      </c>
      <c r="L209" s="7" t="n">
        <v>5</v>
      </c>
      <c r="M209" s="12" t="n">
        <f aca="false">G209*L209</f>
        <v>510</v>
      </c>
      <c r="N209" s="9" t="s">
        <v>287</v>
      </c>
      <c r="O209" s="13"/>
      <c r="P209" s="13"/>
      <c r="Q209" s="14" t="str">
        <f aca="false">IF(P209="","",G209*P209)</f>
        <v/>
      </c>
      <c r="R209" s="13"/>
    </row>
    <row r="210" customFormat="false" ht="15" hidden="false" customHeight="true" outlineLevel="0" collapsed="false">
      <c r="A210" s="15" t="n">
        <v>25</v>
      </c>
      <c r="B210" s="15" t="s">
        <v>285</v>
      </c>
      <c r="C210" s="16" t="n">
        <v>46439</v>
      </c>
      <c r="D210" s="15" t="s">
        <v>94</v>
      </c>
      <c r="E210" s="15" t="s">
        <v>95</v>
      </c>
      <c r="F210" s="17" t="s">
        <v>96</v>
      </c>
      <c r="G210" s="15" t="n">
        <v>0</v>
      </c>
      <c r="H210" s="18"/>
      <c r="I210" s="19"/>
      <c r="J210" s="15"/>
      <c r="K210" s="15"/>
      <c r="L210" s="15" t="n">
        <v>0</v>
      </c>
      <c r="M210" s="20" t="n">
        <f aca="false">G210*L210</f>
        <v>0</v>
      </c>
      <c r="N210" s="17" t="s">
        <v>139</v>
      </c>
      <c r="O210" s="21"/>
      <c r="P210" s="21"/>
      <c r="Q210" s="22" t="str">
        <f aca="false">IF(P210="","",G210*P210)</f>
        <v/>
      </c>
      <c r="R210" s="21"/>
    </row>
    <row r="211" customFormat="false" ht="34.5" hidden="false" customHeight="true" outlineLevel="0" collapsed="false">
      <c r="A211" s="23" t="n">
        <v>26</v>
      </c>
      <c r="B211" s="23" t="s">
        <v>285</v>
      </c>
      <c r="C211" s="24" t="n">
        <v>46440</v>
      </c>
      <c r="D211" s="23" t="s">
        <v>99</v>
      </c>
      <c r="E211" s="23" t="s">
        <v>100</v>
      </c>
      <c r="F211" s="25" t="s">
        <v>101</v>
      </c>
      <c r="G211" s="23" t="n">
        <v>75</v>
      </c>
      <c r="H211" s="26"/>
      <c r="I211" s="27"/>
      <c r="J211" s="23"/>
      <c r="K211" s="23"/>
      <c r="L211" s="23" t="n">
        <v>6</v>
      </c>
      <c r="M211" s="28" t="n">
        <f aca="false">G211*L211</f>
        <v>450</v>
      </c>
      <c r="N211" s="25" t="s">
        <v>234</v>
      </c>
      <c r="O211" s="13"/>
      <c r="P211" s="13"/>
      <c r="Q211" s="14" t="str">
        <f aca="false">IF(P211="","",G211*P211)</f>
        <v/>
      </c>
      <c r="R211" s="13"/>
    </row>
    <row r="212" customFormat="false" ht="23.25" hidden="false" customHeight="true" outlineLevel="0" collapsed="false">
      <c r="A212" s="29" t="n">
        <v>26</v>
      </c>
      <c r="B212" s="29" t="s">
        <v>285</v>
      </c>
      <c r="C212" s="30" t="n">
        <v>46441</v>
      </c>
      <c r="D212" s="29" t="s">
        <v>103</v>
      </c>
      <c r="E212" s="29" t="s">
        <v>104</v>
      </c>
      <c r="F212" s="31" t="s">
        <v>105</v>
      </c>
      <c r="G212" s="29" t="n">
        <v>105</v>
      </c>
      <c r="H212" s="32"/>
      <c r="I212" s="33" t="n">
        <v>4800</v>
      </c>
      <c r="J212" s="29"/>
      <c r="K212" s="29"/>
      <c r="L212" s="29" t="n">
        <v>5</v>
      </c>
      <c r="M212" s="34" t="n">
        <f aca="false">G212*L212</f>
        <v>525</v>
      </c>
      <c r="N212" s="31" t="s">
        <v>264</v>
      </c>
      <c r="O212" s="13"/>
      <c r="P212" s="13"/>
      <c r="Q212" s="14" t="str">
        <f aca="false">IF(P212="","",G212*P212)</f>
        <v/>
      </c>
      <c r="R212" s="13"/>
    </row>
    <row r="213" customFormat="false" ht="23.25" hidden="false" customHeight="true" outlineLevel="0" collapsed="false">
      <c r="A213" s="35" t="n">
        <v>26</v>
      </c>
      <c r="B213" s="35" t="s">
        <v>285</v>
      </c>
      <c r="C213" s="36" t="n">
        <v>46441</v>
      </c>
      <c r="D213" s="35" t="s">
        <v>107</v>
      </c>
      <c r="E213" s="35" t="s">
        <v>108</v>
      </c>
      <c r="F213" s="37" t="s">
        <v>135</v>
      </c>
      <c r="G213" s="35" t="n">
        <v>45</v>
      </c>
      <c r="H213" s="38"/>
      <c r="I213" s="39"/>
      <c r="J213" s="35"/>
      <c r="K213" s="35"/>
      <c r="L213" s="35" t="n">
        <v>3</v>
      </c>
      <c r="M213" s="40" t="n">
        <f aca="false">G213*L213</f>
        <v>135</v>
      </c>
      <c r="N213" s="37" t="s">
        <v>136</v>
      </c>
      <c r="O213" s="13"/>
      <c r="P213" s="13"/>
      <c r="Q213" s="14" t="str">
        <f aca="false">IF(P213="","",G213*P213)</f>
        <v/>
      </c>
      <c r="R213" s="13"/>
    </row>
    <row r="214" customFormat="false" ht="15" hidden="false" customHeight="true" outlineLevel="0" collapsed="false">
      <c r="A214" s="7" t="n">
        <v>26</v>
      </c>
      <c r="B214" s="7" t="s">
        <v>285</v>
      </c>
      <c r="C214" s="8" t="n">
        <v>46442</v>
      </c>
      <c r="D214" s="7" t="s">
        <v>111</v>
      </c>
      <c r="E214" s="7" t="s">
        <v>90</v>
      </c>
      <c r="F214" s="9" t="s">
        <v>255</v>
      </c>
      <c r="G214" s="7" t="n">
        <v>79</v>
      </c>
      <c r="H214" s="10" t="n">
        <v>14</v>
      </c>
      <c r="I214" s="11"/>
      <c r="J214" s="7" t="s">
        <v>237</v>
      </c>
      <c r="K214" s="7" t="str">
        <f aca="false">"EF "&amp;TEXT((Allures!$C$16+75)/86400,"mm:ss")&amp;" · "&amp;"All. 10 km "&amp;TEXT((Allures!$C$16+0)/86400,"mm:ss")</f>
        <v>EF 04:51 · All. 10 km 03:36</v>
      </c>
      <c r="L214" s="7" t="n">
        <v>8</v>
      </c>
      <c r="M214" s="12" t="n">
        <f aca="false">G214*L214</f>
        <v>632</v>
      </c>
      <c r="N214" s="9" t="s">
        <v>288</v>
      </c>
      <c r="O214" s="13"/>
      <c r="P214" s="13"/>
      <c r="Q214" s="14" t="str">
        <f aca="false">IF(P214="","",G214*P214)</f>
        <v/>
      </c>
      <c r="R214" s="13"/>
    </row>
    <row r="215" customFormat="false" ht="23.25" hidden="false" customHeight="true" outlineLevel="0" collapsed="false">
      <c r="A215" s="23" t="n">
        <v>26</v>
      </c>
      <c r="B215" s="23" t="s">
        <v>285</v>
      </c>
      <c r="C215" s="24" t="n">
        <v>46443</v>
      </c>
      <c r="D215" s="23" t="s">
        <v>114</v>
      </c>
      <c r="E215" s="23" t="s">
        <v>100</v>
      </c>
      <c r="F215" s="25" t="s">
        <v>152</v>
      </c>
      <c r="G215" s="23" t="n">
        <v>60</v>
      </c>
      <c r="H215" s="26" t="n">
        <v>2</v>
      </c>
      <c r="I215" s="27"/>
      <c r="J215" s="23"/>
      <c r="K215" s="23"/>
      <c r="L215" s="23" t="n">
        <v>6</v>
      </c>
      <c r="M215" s="28" t="n">
        <f aca="false">G215*L215</f>
        <v>360</v>
      </c>
      <c r="N215" s="25" t="s">
        <v>239</v>
      </c>
      <c r="O215" s="13"/>
      <c r="P215" s="13"/>
      <c r="Q215" s="14" t="str">
        <f aca="false">IF(P215="","",G215*P215)</f>
        <v/>
      </c>
      <c r="R215" s="13"/>
    </row>
    <row r="216" customFormat="false" ht="15" hidden="false" customHeight="true" outlineLevel="0" collapsed="false">
      <c r="A216" s="29" t="n">
        <v>26</v>
      </c>
      <c r="B216" s="29" t="s">
        <v>285</v>
      </c>
      <c r="C216" s="30" t="n">
        <v>46444</v>
      </c>
      <c r="D216" s="29" t="s">
        <v>116</v>
      </c>
      <c r="E216" s="29" t="s">
        <v>104</v>
      </c>
      <c r="F216" s="31" t="s">
        <v>132</v>
      </c>
      <c r="G216" s="29" t="n">
        <v>85</v>
      </c>
      <c r="H216" s="32"/>
      <c r="I216" s="33" t="n">
        <v>4000</v>
      </c>
      <c r="J216" s="29"/>
      <c r="K216" s="29"/>
      <c r="L216" s="29" t="n">
        <v>4</v>
      </c>
      <c r="M216" s="34" t="n">
        <f aca="false">G216*L216</f>
        <v>340</v>
      </c>
      <c r="N216" s="31" t="s">
        <v>267</v>
      </c>
      <c r="O216" s="13"/>
      <c r="P216" s="13"/>
      <c r="Q216" s="14" t="str">
        <f aca="false">IF(P216="","",G216*P216)</f>
        <v/>
      </c>
      <c r="R216" s="13"/>
    </row>
    <row r="217" customFormat="false" ht="15" hidden="false" customHeight="true" outlineLevel="0" collapsed="false">
      <c r="A217" s="7" t="n">
        <v>26</v>
      </c>
      <c r="B217" s="7" t="s">
        <v>285</v>
      </c>
      <c r="C217" s="8" t="n">
        <v>46444</v>
      </c>
      <c r="D217" s="7" t="s">
        <v>116</v>
      </c>
      <c r="E217" s="7" t="s">
        <v>90</v>
      </c>
      <c r="F217" s="9" t="s">
        <v>178</v>
      </c>
      <c r="G217" s="7" t="n">
        <v>58</v>
      </c>
      <c r="H217" s="10" t="n">
        <v>10</v>
      </c>
      <c r="I217" s="11"/>
      <c r="J217" s="7" t="s">
        <v>179</v>
      </c>
      <c r="K217" s="7" t="str">
        <f aca="false">"Récup "&amp;TEXT((Allures!$C$16+95)/86400,"mm:ss")</f>
        <v>Récup 05:11</v>
      </c>
      <c r="L217" s="7" t="n">
        <v>3</v>
      </c>
      <c r="M217" s="12" t="n">
        <f aca="false">G217*L217</f>
        <v>174</v>
      </c>
      <c r="N217" s="9" t="s">
        <v>187</v>
      </c>
      <c r="O217" s="13"/>
      <c r="P217" s="13"/>
      <c r="Q217" s="14" t="str">
        <f aca="false">IF(P217="","",G217*P217)</f>
        <v/>
      </c>
      <c r="R217" s="13"/>
    </row>
    <row r="218" customFormat="false" ht="15" hidden="false" customHeight="true" outlineLevel="0" collapsed="false">
      <c r="A218" s="7" t="n">
        <v>26</v>
      </c>
      <c r="B218" s="7" t="s">
        <v>285</v>
      </c>
      <c r="C218" s="8" t="n">
        <v>46445</v>
      </c>
      <c r="D218" s="7" t="s">
        <v>89</v>
      </c>
      <c r="E218" s="7" t="s">
        <v>90</v>
      </c>
      <c r="F218" s="9" t="s">
        <v>137</v>
      </c>
      <c r="G218" s="7" t="n">
        <v>108</v>
      </c>
      <c r="H218" s="10" t="n">
        <v>19</v>
      </c>
      <c r="I218" s="11"/>
      <c r="J218" s="7" t="s">
        <v>241</v>
      </c>
      <c r="K218" s="7" t="str">
        <f aca="false">"EF "&amp;TEXT((Allures!$C$16+75)/86400,"mm:ss")&amp;" · "&amp;"All. marathon "&amp;TEXT((Allures!$C$16+30)/86400,"mm:ss")</f>
        <v>EF 04:51 · All. marathon 04:06</v>
      </c>
      <c r="L218" s="7" t="n">
        <v>5</v>
      </c>
      <c r="M218" s="12" t="n">
        <f aca="false">G218*L218</f>
        <v>540</v>
      </c>
      <c r="N218" s="9" t="s">
        <v>289</v>
      </c>
      <c r="O218" s="13"/>
      <c r="P218" s="13"/>
      <c r="Q218" s="14" t="str">
        <f aca="false">IF(P218="","",G218*P218)</f>
        <v/>
      </c>
      <c r="R218" s="13"/>
    </row>
    <row r="219" customFormat="false" ht="15" hidden="false" customHeight="true" outlineLevel="0" collapsed="false">
      <c r="A219" s="15" t="n">
        <v>26</v>
      </c>
      <c r="B219" s="15" t="s">
        <v>285</v>
      </c>
      <c r="C219" s="16" t="n">
        <v>46446</v>
      </c>
      <c r="D219" s="15" t="s">
        <v>94</v>
      </c>
      <c r="E219" s="15" t="s">
        <v>95</v>
      </c>
      <c r="F219" s="17" t="s">
        <v>96</v>
      </c>
      <c r="G219" s="15" t="n">
        <v>0</v>
      </c>
      <c r="H219" s="18"/>
      <c r="I219" s="19"/>
      <c r="J219" s="15"/>
      <c r="K219" s="15"/>
      <c r="L219" s="15" t="n">
        <v>0</v>
      </c>
      <c r="M219" s="20" t="n">
        <f aca="false">G219*L219</f>
        <v>0</v>
      </c>
      <c r="N219" s="17" t="s">
        <v>139</v>
      </c>
      <c r="O219" s="21"/>
      <c r="P219" s="21"/>
      <c r="Q219" s="22" t="str">
        <f aca="false">IF(P219="","",G219*P219)</f>
        <v/>
      </c>
      <c r="R219" s="21"/>
    </row>
    <row r="220" customFormat="false" ht="34.5" hidden="false" customHeight="true" outlineLevel="0" collapsed="false">
      <c r="A220" s="23" t="n">
        <v>27</v>
      </c>
      <c r="B220" s="23" t="s">
        <v>285</v>
      </c>
      <c r="C220" s="24" t="n">
        <v>46447</v>
      </c>
      <c r="D220" s="23" t="s">
        <v>99</v>
      </c>
      <c r="E220" s="23" t="s">
        <v>100</v>
      </c>
      <c r="F220" s="25" t="s">
        <v>101</v>
      </c>
      <c r="G220" s="23" t="n">
        <v>75</v>
      </c>
      <c r="H220" s="26"/>
      <c r="I220" s="27"/>
      <c r="J220" s="23"/>
      <c r="K220" s="23"/>
      <c r="L220" s="23" t="n">
        <v>6</v>
      </c>
      <c r="M220" s="28" t="n">
        <f aca="false">G220*L220</f>
        <v>450</v>
      </c>
      <c r="N220" s="25" t="s">
        <v>234</v>
      </c>
      <c r="O220" s="13"/>
      <c r="P220" s="13"/>
      <c r="Q220" s="14" t="str">
        <f aca="false">IF(P220="","",G220*P220)</f>
        <v/>
      </c>
      <c r="R220" s="13"/>
    </row>
    <row r="221" customFormat="false" ht="23.25" hidden="false" customHeight="true" outlineLevel="0" collapsed="false">
      <c r="A221" s="29" t="n">
        <v>27</v>
      </c>
      <c r="B221" s="29" t="s">
        <v>285</v>
      </c>
      <c r="C221" s="30" t="n">
        <v>46448</v>
      </c>
      <c r="D221" s="29" t="s">
        <v>103</v>
      </c>
      <c r="E221" s="29" t="s">
        <v>104</v>
      </c>
      <c r="F221" s="31" t="s">
        <v>105</v>
      </c>
      <c r="G221" s="29" t="n">
        <v>90</v>
      </c>
      <c r="H221" s="32"/>
      <c r="I221" s="33" t="n">
        <v>4000</v>
      </c>
      <c r="J221" s="29"/>
      <c r="K221" s="29"/>
      <c r="L221" s="29" t="n">
        <v>5</v>
      </c>
      <c r="M221" s="34" t="n">
        <f aca="false">G221*L221</f>
        <v>450</v>
      </c>
      <c r="N221" s="31" t="s">
        <v>271</v>
      </c>
      <c r="O221" s="13"/>
      <c r="P221" s="13"/>
      <c r="Q221" s="14" t="str">
        <f aca="false">IF(P221="","",G221*P221)</f>
        <v/>
      </c>
      <c r="R221" s="13"/>
    </row>
    <row r="222" customFormat="false" ht="23.25" hidden="false" customHeight="true" outlineLevel="0" collapsed="false">
      <c r="A222" s="35" t="n">
        <v>27</v>
      </c>
      <c r="B222" s="35" t="s">
        <v>285</v>
      </c>
      <c r="C222" s="36" t="n">
        <v>46448</v>
      </c>
      <c r="D222" s="35" t="s">
        <v>107</v>
      </c>
      <c r="E222" s="35" t="s">
        <v>108</v>
      </c>
      <c r="F222" s="37" t="s">
        <v>135</v>
      </c>
      <c r="G222" s="35" t="n">
        <v>45</v>
      </c>
      <c r="H222" s="38"/>
      <c r="I222" s="39"/>
      <c r="J222" s="35"/>
      <c r="K222" s="35"/>
      <c r="L222" s="35" t="n">
        <v>3</v>
      </c>
      <c r="M222" s="40" t="n">
        <f aca="false">G222*L222</f>
        <v>135</v>
      </c>
      <c r="N222" s="37" t="s">
        <v>136</v>
      </c>
      <c r="O222" s="13"/>
      <c r="P222" s="13"/>
      <c r="Q222" s="14" t="str">
        <f aca="false">IF(P222="","",G222*P222)</f>
        <v/>
      </c>
      <c r="R222" s="13"/>
    </row>
    <row r="223" customFormat="false" ht="15" hidden="false" customHeight="true" outlineLevel="0" collapsed="false">
      <c r="A223" s="7" t="n">
        <v>27</v>
      </c>
      <c r="B223" s="7" t="s">
        <v>285</v>
      </c>
      <c r="C223" s="8" t="n">
        <v>46449</v>
      </c>
      <c r="D223" s="7" t="s">
        <v>111</v>
      </c>
      <c r="E223" s="7" t="s">
        <v>90</v>
      </c>
      <c r="F223" s="9" t="s">
        <v>290</v>
      </c>
      <c r="G223" s="7" t="n">
        <v>73</v>
      </c>
      <c r="H223" s="10" t="n">
        <v>13</v>
      </c>
      <c r="I223" s="11"/>
      <c r="J223" s="7" t="s">
        <v>237</v>
      </c>
      <c r="K223" s="7" t="str">
        <f aca="false">"EF "&amp;TEXT((Allures!$C$16+75)/86400,"mm:ss")&amp;" · "&amp;"All. 10 km "&amp;TEXT((Allures!$C$16+0)/86400,"mm:ss")</f>
        <v>EF 04:51 · All. 10 km 03:36</v>
      </c>
      <c r="L223" s="7" t="n">
        <v>8</v>
      </c>
      <c r="M223" s="12" t="n">
        <f aca="false">G223*L223</f>
        <v>584</v>
      </c>
      <c r="N223" s="9" t="s">
        <v>291</v>
      </c>
      <c r="O223" s="13"/>
      <c r="P223" s="13"/>
      <c r="Q223" s="14" t="str">
        <f aca="false">IF(P223="","",G223*P223)</f>
        <v/>
      </c>
      <c r="R223" s="13"/>
    </row>
    <row r="224" customFormat="false" ht="23.25" hidden="false" customHeight="true" outlineLevel="0" collapsed="false">
      <c r="A224" s="23" t="n">
        <v>27</v>
      </c>
      <c r="B224" s="23" t="s">
        <v>285</v>
      </c>
      <c r="C224" s="24" t="n">
        <v>46450</v>
      </c>
      <c r="D224" s="23" t="s">
        <v>114</v>
      </c>
      <c r="E224" s="23" t="s">
        <v>100</v>
      </c>
      <c r="F224" s="25" t="s">
        <v>152</v>
      </c>
      <c r="G224" s="23" t="n">
        <v>60</v>
      </c>
      <c r="H224" s="26" t="n">
        <v>2</v>
      </c>
      <c r="I224" s="27"/>
      <c r="J224" s="23"/>
      <c r="K224" s="23"/>
      <c r="L224" s="23" t="n">
        <v>6</v>
      </c>
      <c r="M224" s="28" t="n">
        <f aca="false">G224*L224</f>
        <v>360</v>
      </c>
      <c r="N224" s="25" t="s">
        <v>239</v>
      </c>
      <c r="O224" s="13"/>
      <c r="P224" s="13"/>
      <c r="Q224" s="14" t="str">
        <f aca="false">IF(P224="","",G224*P224)</f>
        <v/>
      </c>
      <c r="R224" s="13"/>
    </row>
    <row r="225" customFormat="false" ht="15" hidden="false" customHeight="true" outlineLevel="0" collapsed="false">
      <c r="A225" s="29" t="n">
        <v>27</v>
      </c>
      <c r="B225" s="29" t="s">
        <v>285</v>
      </c>
      <c r="C225" s="30" t="n">
        <v>46451</v>
      </c>
      <c r="D225" s="29" t="s">
        <v>116</v>
      </c>
      <c r="E225" s="29" t="s">
        <v>104</v>
      </c>
      <c r="F225" s="31" t="s">
        <v>132</v>
      </c>
      <c r="G225" s="29" t="n">
        <v>70</v>
      </c>
      <c r="H225" s="32"/>
      <c r="I225" s="33" t="n">
        <v>3400</v>
      </c>
      <c r="J225" s="29"/>
      <c r="K225" s="29"/>
      <c r="L225" s="29" t="n">
        <v>4</v>
      </c>
      <c r="M225" s="34" t="n">
        <f aca="false">G225*L225</f>
        <v>280</v>
      </c>
      <c r="N225" s="31" t="s">
        <v>274</v>
      </c>
      <c r="O225" s="13"/>
      <c r="P225" s="13"/>
      <c r="Q225" s="14" t="str">
        <f aca="false">IF(P225="","",G225*P225)</f>
        <v/>
      </c>
      <c r="R225" s="13"/>
    </row>
    <row r="226" customFormat="false" ht="15" hidden="false" customHeight="true" outlineLevel="0" collapsed="false">
      <c r="A226" s="7" t="n">
        <v>27</v>
      </c>
      <c r="B226" s="7" t="s">
        <v>285</v>
      </c>
      <c r="C226" s="8" t="n">
        <v>46451</v>
      </c>
      <c r="D226" s="7" t="s">
        <v>116</v>
      </c>
      <c r="E226" s="7" t="s">
        <v>90</v>
      </c>
      <c r="F226" s="9" t="s">
        <v>178</v>
      </c>
      <c r="G226" s="7" t="n">
        <v>58</v>
      </c>
      <c r="H226" s="10" t="n">
        <v>10</v>
      </c>
      <c r="I226" s="11"/>
      <c r="J226" s="7" t="s">
        <v>179</v>
      </c>
      <c r="K226" s="7" t="str">
        <f aca="false">"Récup "&amp;TEXT((Allures!$C$16+95)/86400,"mm:ss")</f>
        <v>Récup 05:11</v>
      </c>
      <c r="L226" s="7" t="n">
        <v>3</v>
      </c>
      <c r="M226" s="12" t="n">
        <f aca="false">G226*L226</f>
        <v>174</v>
      </c>
      <c r="N226" s="9" t="s">
        <v>187</v>
      </c>
      <c r="O226" s="13"/>
      <c r="P226" s="13"/>
      <c r="Q226" s="14" t="str">
        <f aca="false">IF(P226="","",G226*P226)</f>
        <v/>
      </c>
      <c r="R226" s="13"/>
    </row>
    <row r="227" customFormat="false" ht="15" hidden="false" customHeight="true" outlineLevel="0" collapsed="false">
      <c r="A227" s="7" t="n">
        <v>27</v>
      </c>
      <c r="B227" s="7" t="s">
        <v>285</v>
      </c>
      <c r="C227" s="8" t="n">
        <v>46452</v>
      </c>
      <c r="D227" s="7" t="s">
        <v>89</v>
      </c>
      <c r="E227" s="7" t="s">
        <v>90</v>
      </c>
      <c r="F227" s="9" t="s">
        <v>137</v>
      </c>
      <c r="G227" s="7" t="n">
        <v>96</v>
      </c>
      <c r="H227" s="10" t="n">
        <v>17</v>
      </c>
      <c r="I227" s="11"/>
      <c r="J227" s="7" t="s">
        <v>241</v>
      </c>
      <c r="K227" s="7" t="str">
        <f aca="false">"EF "&amp;TEXT((Allures!$C$16+75)/86400,"mm:ss")&amp;" · "&amp;"All. marathon "&amp;TEXT((Allures!$C$16+30)/86400,"mm:ss")</f>
        <v>EF 04:51 · All. marathon 04:06</v>
      </c>
      <c r="L227" s="7" t="n">
        <v>5</v>
      </c>
      <c r="M227" s="12" t="n">
        <f aca="false">G227*L227</f>
        <v>480</v>
      </c>
      <c r="N227" s="9" t="s">
        <v>292</v>
      </c>
      <c r="O227" s="13"/>
      <c r="P227" s="13"/>
      <c r="Q227" s="14" t="str">
        <f aca="false">IF(P227="","",G227*P227)</f>
        <v/>
      </c>
      <c r="R227" s="13"/>
    </row>
    <row r="228" customFormat="false" ht="15" hidden="false" customHeight="true" outlineLevel="0" collapsed="false">
      <c r="A228" s="15" t="n">
        <v>27</v>
      </c>
      <c r="B228" s="15" t="s">
        <v>285</v>
      </c>
      <c r="C228" s="16" t="n">
        <v>46453</v>
      </c>
      <c r="D228" s="15" t="s">
        <v>94</v>
      </c>
      <c r="E228" s="15" t="s">
        <v>95</v>
      </c>
      <c r="F228" s="17" t="s">
        <v>96</v>
      </c>
      <c r="G228" s="15" t="n">
        <v>0</v>
      </c>
      <c r="H228" s="18"/>
      <c r="I228" s="19"/>
      <c r="J228" s="15"/>
      <c r="K228" s="15"/>
      <c r="L228" s="15" t="n">
        <v>0</v>
      </c>
      <c r="M228" s="20" t="n">
        <f aca="false">G228*L228</f>
        <v>0</v>
      </c>
      <c r="N228" s="17" t="s">
        <v>139</v>
      </c>
      <c r="O228" s="21"/>
      <c r="P228" s="21"/>
      <c r="Q228" s="22" t="str">
        <f aca="false">IF(P228="","",G228*P228)</f>
        <v/>
      </c>
      <c r="R228" s="21"/>
    </row>
    <row r="229" customFormat="false" ht="34.5" hidden="false" customHeight="true" outlineLevel="0" collapsed="false">
      <c r="A229" s="23" t="n">
        <v>28</v>
      </c>
      <c r="B229" s="23" t="s">
        <v>293</v>
      </c>
      <c r="C229" s="24" t="n">
        <v>46454</v>
      </c>
      <c r="D229" s="23" t="s">
        <v>99</v>
      </c>
      <c r="E229" s="23" t="s">
        <v>100</v>
      </c>
      <c r="F229" s="25" t="s">
        <v>101</v>
      </c>
      <c r="G229" s="23" t="n">
        <v>75</v>
      </c>
      <c r="H229" s="26"/>
      <c r="I229" s="27"/>
      <c r="J229" s="23"/>
      <c r="K229" s="23"/>
      <c r="L229" s="23" t="n">
        <v>6</v>
      </c>
      <c r="M229" s="28" t="n">
        <f aca="false">G229*L229</f>
        <v>450</v>
      </c>
      <c r="N229" s="25" t="s">
        <v>234</v>
      </c>
      <c r="O229" s="13"/>
      <c r="P229" s="13"/>
      <c r="Q229" s="14" t="str">
        <f aca="false">IF(P229="","",G229*P229)</f>
        <v/>
      </c>
      <c r="R229" s="13"/>
    </row>
    <row r="230" customFormat="false" ht="23.25" hidden="false" customHeight="true" outlineLevel="0" collapsed="false">
      <c r="A230" s="29" t="n">
        <v>28</v>
      </c>
      <c r="B230" s="29" t="s">
        <v>293</v>
      </c>
      <c r="C230" s="30" t="n">
        <v>46455</v>
      </c>
      <c r="D230" s="29" t="s">
        <v>103</v>
      </c>
      <c r="E230" s="29" t="s">
        <v>104</v>
      </c>
      <c r="F230" s="31" t="s">
        <v>105</v>
      </c>
      <c r="G230" s="29" t="n">
        <v>105</v>
      </c>
      <c r="H230" s="32"/>
      <c r="I230" s="33" t="n">
        <v>4800</v>
      </c>
      <c r="J230" s="29"/>
      <c r="K230" s="29"/>
      <c r="L230" s="29" t="n">
        <v>5</v>
      </c>
      <c r="M230" s="34" t="n">
        <f aca="false">G230*L230</f>
        <v>525</v>
      </c>
      <c r="N230" s="31" t="s">
        <v>264</v>
      </c>
      <c r="O230" s="13"/>
      <c r="P230" s="13"/>
      <c r="Q230" s="14" t="str">
        <f aca="false">IF(P230="","",G230*P230)</f>
        <v/>
      </c>
      <c r="R230" s="13"/>
    </row>
    <row r="231" customFormat="false" ht="23.25" hidden="false" customHeight="true" outlineLevel="0" collapsed="false">
      <c r="A231" s="35" t="n">
        <v>28</v>
      </c>
      <c r="B231" s="35" t="s">
        <v>293</v>
      </c>
      <c r="C231" s="36" t="n">
        <v>46455</v>
      </c>
      <c r="D231" s="35" t="s">
        <v>107</v>
      </c>
      <c r="E231" s="35" t="s">
        <v>108</v>
      </c>
      <c r="F231" s="37" t="s">
        <v>135</v>
      </c>
      <c r="G231" s="35" t="n">
        <v>45</v>
      </c>
      <c r="H231" s="38"/>
      <c r="I231" s="39"/>
      <c r="J231" s="35"/>
      <c r="K231" s="35"/>
      <c r="L231" s="35" t="n">
        <v>3</v>
      </c>
      <c r="M231" s="40" t="n">
        <f aca="false">G231*L231</f>
        <v>135</v>
      </c>
      <c r="N231" s="37" t="s">
        <v>136</v>
      </c>
      <c r="O231" s="13"/>
      <c r="P231" s="13"/>
      <c r="Q231" s="14" t="str">
        <f aca="false">IF(P231="","",G231*P231)</f>
        <v/>
      </c>
      <c r="R231" s="13"/>
    </row>
    <row r="232" customFormat="false" ht="15" hidden="false" customHeight="true" outlineLevel="0" collapsed="false">
      <c r="A232" s="7" t="n">
        <v>28</v>
      </c>
      <c r="B232" s="7" t="s">
        <v>293</v>
      </c>
      <c r="C232" s="8" t="n">
        <v>46456</v>
      </c>
      <c r="D232" s="7" t="s">
        <v>111</v>
      </c>
      <c r="E232" s="7" t="s">
        <v>90</v>
      </c>
      <c r="F232" s="9" t="s">
        <v>294</v>
      </c>
      <c r="G232" s="7" t="n">
        <v>68</v>
      </c>
      <c r="H232" s="10" t="n">
        <v>12</v>
      </c>
      <c r="I232" s="11"/>
      <c r="J232" s="7" t="s">
        <v>237</v>
      </c>
      <c r="K232" s="7" t="str">
        <f aca="false">"EF "&amp;TEXT((Allures!$C$16+75)/86400,"mm:ss")&amp;" · "&amp;"All. 10 km "&amp;TEXT((Allures!$C$16+0)/86400,"mm:ss")</f>
        <v>EF 04:51 · All. 10 km 03:36</v>
      </c>
      <c r="L232" s="7" t="n">
        <v>7</v>
      </c>
      <c r="M232" s="12" t="n">
        <f aca="false">G232*L232</f>
        <v>476</v>
      </c>
      <c r="N232" s="9" t="s">
        <v>295</v>
      </c>
      <c r="O232" s="13"/>
      <c r="P232" s="13"/>
      <c r="Q232" s="14" t="str">
        <f aca="false">IF(P232="","",G232*P232)</f>
        <v/>
      </c>
      <c r="R232" s="13"/>
    </row>
    <row r="233" customFormat="false" ht="23.25" hidden="false" customHeight="true" outlineLevel="0" collapsed="false">
      <c r="A233" s="23" t="n">
        <v>28</v>
      </c>
      <c r="B233" s="23" t="s">
        <v>293</v>
      </c>
      <c r="C233" s="24" t="n">
        <v>46457</v>
      </c>
      <c r="D233" s="23" t="s">
        <v>114</v>
      </c>
      <c r="E233" s="23" t="s">
        <v>100</v>
      </c>
      <c r="F233" s="25" t="s">
        <v>152</v>
      </c>
      <c r="G233" s="23" t="n">
        <v>60</v>
      </c>
      <c r="H233" s="26" t="n">
        <v>2</v>
      </c>
      <c r="I233" s="27"/>
      <c r="J233" s="23"/>
      <c r="K233" s="23"/>
      <c r="L233" s="23" t="n">
        <v>6</v>
      </c>
      <c r="M233" s="28" t="n">
        <f aca="false">G233*L233</f>
        <v>360</v>
      </c>
      <c r="N233" s="25" t="s">
        <v>239</v>
      </c>
      <c r="O233" s="13"/>
      <c r="P233" s="13"/>
      <c r="Q233" s="14" t="str">
        <f aca="false">IF(P233="","",G233*P233)</f>
        <v/>
      </c>
      <c r="R233" s="13"/>
    </row>
    <row r="234" customFormat="false" ht="15" hidden="false" customHeight="true" outlineLevel="0" collapsed="false">
      <c r="A234" s="29" t="n">
        <v>28</v>
      </c>
      <c r="B234" s="29" t="s">
        <v>293</v>
      </c>
      <c r="C234" s="30" t="n">
        <v>46458</v>
      </c>
      <c r="D234" s="29" t="s">
        <v>116</v>
      </c>
      <c r="E234" s="29" t="s">
        <v>104</v>
      </c>
      <c r="F234" s="31" t="s">
        <v>132</v>
      </c>
      <c r="G234" s="29" t="n">
        <v>85</v>
      </c>
      <c r="H234" s="32"/>
      <c r="I234" s="33" t="n">
        <v>4000</v>
      </c>
      <c r="J234" s="29"/>
      <c r="K234" s="29"/>
      <c r="L234" s="29" t="n">
        <v>4</v>
      </c>
      <c r="M234" s="34" t="n">
        <f aca="false">G234*L234</f>
        <v>340</v>
      </c>
      <c r="N234" s="31" t="s">
        <v>267</v>
      </c>
      <c r="O234" s="13"/>
      <c r="P234" s="13"/>
      <c r="Q234" s="14" t="str">
        <f aca="false">IF(P234="","",G234*P234)</f>
        <v/>
      </c>
      <c r="R234" s="13"/>
    </row>
    <row r="235" customFormat="false" ht="15" hidden="false" customHeight="true" outlineLevel="0" collapsed="false">
      <c r="A235" s="7" t="n">
        <v>28</v>
      </c>
      <c r="B235" s="7" t="s">
        <v>293</v>
      </c>
      <c r="C235" s="8" t="n">
        <v>46458</v>
      </c>
      <c r="D235" s="7" t="s">
        <v>116</v>
      </c>
      <c r="E235" s="7" t="s">
        <v>90</v>
      </c>
      <c r="F235" s="9" t="s">
        <v>178</v>
      </c>
      <c r="G235" s="7" t="n">
        <v>58</v>
      </c>
      <c r="H235" s="10" t="n">
        <v>10</v>
      </c>
      <c r="I235" s="11"/>
      <c r="J235" s="7" t="s">
        <v>179</v>
      </c>
      <c r="K235" s="7" t="str">
        <f aca="false">"Récup "&amp;TEXT((Allures!$C$16+95)/86400,"mm:ss")</f>
        <v>Récup 05:11</v>
      </c>
      <c r="L235" s="7" t="n">
        <v>3</v>
      </c>
      <c r="M235" s="12" t="n">
        <f aca="false">G235*L235</f>
        <v>174</v>
      </c>
      <c r="N235" s="9" t="s">
        <v>187</v>
      </c>
      <c r="O235" s="13"/>
      <c r="P235" s="13"/>
      <c r="Q235" s="14" t="str">
        <f aca="false">IF(P235="","",G235*P235)</f>
        <v/>
      </c>
      <c r="R235" s="13"/>
    </row>
    <row r="236" customFormat="false" ht="15" hidden="false" customHeight="true" outlineLevel="0" collapsed="false">
      <c r="A236" s="7" t="n">
        <v>28</v>
      </c>
      <c r="B236" s="7" t="s">
        <v>293</v>
      </c>
      <c r="C236" s="8" t="n">
        <v>46459</v>
      </c>
      <c r="D236" s="7" t="s">
        <v>89</v>
      </c>
      <c r="E236" s="7" t="s">
        <v>90</v>
      </c>
      <c r="F236" s="9" t="s">
        <v>137</v>
      </c>
      <c r="G236" s="7" t="n">
        <v>79</v>
      </c>
      <c r="H236" s="10" t="n">
        <v>14</v>
      </c>
      <c r="I236" s="11"/>
      <c r="J236" s="7" t="s">
        <v>241</v>
      </c>
      <c r="K236" s="7" t="str">
        <f aca="false">"EF "&amp;TEXT((Allures!$C$16+75)/86400,"mm:ss")&amp;" · "&amp;"All. marathon "&amp;TEXT((Allures!$C$16+30)/86400,"mm:ss")</f>
        <v>EF 04:51 · All. marathon 04:06</v>
      </c>
      <c r="L236" s="7" t="n">
        <v>5</v>
      </c>
      <c r="M236" s="12" t="n">
        <f aca="false">G236*L236</f>
        <v>395</v>
      </c>
      <c r="N236" s="9" t="s">
        <v>296</v>
      </c>
      <c r="O236" s="13"/>
      <c r="P236" s="13"/>
      <c r="Q236" s="14" t="str">
        <f aca="false">IF(P236="","",G236*P236)</f>
        <v/>
      </c>
      <c r="R236" s="13"/>
    </row>
    <row r="237" customFormat="false" ht="15" hidden="false" customHeight="true" outlineLevel="0" collapsed="false">
      <c r="A237" s="15" t="n">
        <v>28</v>
      </c>
      <c r="B237" s="15" t="s">
        <v>293</v>
      </c>
      <c r="C237" s="16" t="n">
        <v>46460</v>
      </c>
      <c r="D237" s="15" t="s">
        <v>94</v>
      </c>
      <c r="E237" s="15" t="s">
        <v>95</v>
      </c>
      <c r="F237" s="17" t="s">
        <v>96</v>
      </c>
      <c r="G237" s="15" t="n">
        <v>0</v>
      </c>
      <c r="H237" s="18"/>
      <c r="I237" s="19"/>
      <c r="J237" s="15"/>
      <c r="K237" s="15"/>
      <c r="L237" s="15" t="n">
        <v>0</v>
      </c>
      <c r="M237" s="20" t="n">
        <f aca="false">G237*L237</f>
        <v>0</v>
      </c>
      <c r="N237" s="17" t="s">
        <v>139</v>
      </c>
      <c r="O237" s="21"/>
      <c r="P237" s="21"/>
      <c r="Q237" s="22" t="str">
        <f aca="false">IF(P237="","",G237*P237)</f>
        <v/>
      </c>
      <c r="R237" s="21"/>
    </row>
    <row r="238" customFormat="false" ht="23.25" hidden="false" customHeight="true" outlineLevel="0" collapsed="false">
      <c r="A238" s="23" t="n">
        <v>29</v>
      </c>
      <c r="B238" s="23" t="s">
        <v>297</v>
      </c>
      <c r="C238" s="24" t="n">
        <v>46461</v>
      </c>
      <c r="D238" s="23" t="s">
        <v>99</v>
      </c>
      <c r="E238" s="23" t="s">
        <v>100</v>
      </c>
      <c r="F238" s="25" t="s">
        <v>101</v>
      </c>
      <c r="G238" s="23" t="n">
        <v>50</v>
      </c>
      <c r="H238" s="26"/>
      <c r="I238" s="27"/>
      <c r="J238" s="23"/>
      <c r="K238" s="23"/>
      <c r="L238" s="23" t="n">
        <v>5</v>
      </c>
      <c r="M238" s="28" t="n">
        <f aca="false">G238*L238</f>
        <v>250</v>
      </c>
      <c r="N238" s="25" t="s">
        <v>280</v>
      </c>
      <c r="O238" s="13"/>
      <c r="P238" s="13"/>
      <c r="Q238" s="14" t="str">
        <f aca="false">IF(P238="","",G238*P238)</f>
        <v/>
      </c>
      <c r="R238" s="13"/>
    </row>
    <row r="239" customFormat="false" ht="23.25" hidden="false" customHeight="true" outlineLevel="0" collapsed="false">
      <c r="A239" s="29" t="n">
        <v>29</v>
      </c>
      <c r="B239" s="29" t="s">
        <v>297</v>
      </c>
      <c r="C239" s="30" t="n">
        <v>46462</v>
      </c>
      <c r="D239" s="29" t="s">
        <v>141</v>
      </c>
      <c r="E239" s="29" t="s">
        <v>104</v>
      </c>
      <c r="F239" s="31" t="s">
        <v>105</v>
      </c>
      <c r="G239" s="29" t="n">
        <v>105</v>
      </c>
      <c r="H239" s="32"/>
      <c r="I239" s="33" t="n">
        <v>4800</v>
      </c>
      <c r="J239" s="29"/>
      <c r="K239" s="29"/>
      <c r="L239" s="29" t="n">
        <v>5</v>
      </c>
      <c r="M239" s="34" t="n">
        <f aca="false">G239*L239</f>
        <v>525</v>
      </c>
      <c r="N239" s="31" t="s">
        <v>264</v>
      </c>
      <c r="O239" s="13"/>
      <c r="P239" s="13"/>
      <c r="Q239" s="14" t="str">
        <f aca="false">IF(P239="","",G239*P239)</f>
        <v/>
      </c>
      <c r="R239" s="13"/>
    </row>
    <row r="240" customFormat="false" ht="15" hidden="false" customHeight="true" outlineLevel="0" collapsed="false">
      <c r="A240" s="7" t="n">
        <v>29</v>
      </c>
      <c r="B240" s="7" t="s">
        <v>297</v>
      </c>
      <c r="C240" s="8" t="n">
        <v>46463</v>
      </c>
      <c r="D240" s="7" t="s">
        <v>111</v>
      </c>
      <c r="E240" s="7" t="s">
        <v>90</v>
      </c>
      <c r="F240" s="9" t="s">
        <v>298</v>
      </c>
      <c r="G240" s="7" t="n">
        <v>58</v>
      </c>
      <c r="H240" s="10" t="n">
        <v>10</v>
      </c>
      <c r="I240" s="11"/>
      <c r="J240" s="7" t="s">
        <v>237</v>
      </c>
      <c r="K240" s="7" t="str">
        <f aca="false">"EF "&amp;TEXT((Allures!$C$16+75)/86400,"mm:ss")&amp;" · "&amp;"All. 10 km "&amp;TEXT((Allures!$C$16+0)/86400,"mm:ss")</f>
        <v>EF 04:51 · All. 10 km 03:36</v>
      </c>
      <c r="L240" s="7" t="n">
        <v>5</v>
      </c>
      <c r="M240" s="12" t="n">
        <f aca="false">G240*L240</f>
        <v>290</v>
      </c>
      <c r="N240" s="9" t="s">
        <v>299</v>
      </c>
      <c r="O240" s="13"/>
      <c r="P240" s="13"/>
      <c r="Q240" s="14" t="str">
        <f aca="false">IF(P240="","",G240*P240)</f>
        <v/>
      </c>
      <c r="R240" s="13"/>
    </row>
    <row r="241" customFormat="false" ht="15" hidden="false" customHeight="true" outlineLevel="0" collapsed="false">
      <c r="A241" s="15" t="n">
        <v>29</v>
      </c>
      <c r="B241" s="15" t="s">
        <v>297</v>
      </c>
      <c r="C241" s="16" t="n">
        <v>46464</v>
      </c>
      <c r="D241" s="15" t="s">
        <v>114</v>
      </c>
      <c r="E241" s="15" t="s">
        <v>95</v>
      </c>
      <c r="F241" s="17" t="s">
        <v>95</v>
      </c>
      <c r="G241" s="15" t="n">
        <v>0</v>
      </c>
      <c r="H241" s="18"/>
      <c r="I241" s="19"/>
      <c r="J241" s="15"/>
      <c r="K241" s="15"/>
      <c r="L241" s="15" t="n">
        <v>0</v>
      </c>
      <c r="M241" s="20" t="n">
        <f aca="false">G241*L241</f>
        <v>0</v>
      </c>
      <c r="N241" s="17" t="s">
        <v>282</v>
      </c>
      <c r="O241" s="21"/>
      <c r="P241" s="21"/>
      <c r="Q241" s="22" t="str">
        <f aca="false">IF(P241="","",G241*P241)</f>
        <v/>
      </c>
      <c r="R241" s="21"/>
    </row>
    <row r="242" customFormat="false" ht="15" hidden="false" customHeight="true" outlineLevel="0" collapsed="false">
      <c r="A242" s="29" t="n">
        <v>29</v>
      </c>
      <c r="B242" s="29" t="s">
        <v>297</v>
      </c>
      <c r="C242" s="30" t="n">
        <v>46465</v>
      </c>
      <c r="D242" s="29" t="s">
        <v>116</v>
      </c>
      <c r="E242" s="29" t="s">
        <v>104</v>
      </c>
      <c r="F242" s="31" t="s">
        <v>132</v>
      </c>
      <c r="G242" s="29" t="n">
        <v>85</v>
      </c>
      <c r="H242" s="32"/>
      <c r="I242" s="33" t="n">
        <v>4000</v>
      </c>
      <c r="J242" s="29"/>
      <c r="K242" s="29"/>
      <c r="L242" s="29" t="n">
        <v>4</v>
      </c>
      <c r="M242" s="34" t="n">
        <f aca="false">G242*L242</f>
        <v>340</v>
      </c>
      <c r="N242" s="31" t="s">
        <v>267</v>
      </c>
      <c r="O242" s="13"/>
      <c r="P242" s="13"/>
      <c r="Q242" s="14" t="str">
        <f aca="false">IF(P242="","",G242*P242)</f>
        <v/>
      </c>
      <c r="R242" s="13"/>
    </row>
    <row r="243" customFormat="false" ht="15" hidden="false" customHeight="true" outlineLevel="0" collapsed="false">
      <c r="A243" s="15" t="n">
        <v>29</v>
      </c>
      <c r="B243" s="15" t="s">
        <v>297</v>
      </c>
      <c r="C243" s="16" t="n">
        <v>46466</v>
      </c>
      <c r="D243" s="15" t="s">
        <v>89</v>
      </c>
      <c r="E243" s="15" t="s">
        <v>95</v>
      </c>
      <c r="F243" s="17" t="s">
        <v>166</v>
      </c>
      <c r="G243" s="15" t="n">
        <v>0</v>
      </c>
      <c r="H243" s="18"/>
      <c r="I243" s="19"/>
      <c r="J243" s="15"/>
      <c r="K243" s="15"/>
      <c r="L243" s="15" t="n">
        <v>0</v>
      </c>
      <c r="M243" s="20" t="n">
        <f aca="false">G243*L243</f>
        <v>0</v>
      </c>
      <c r="N243" s="17" t="s">
        <v>219</v>
      </c>
      <c r="O243" s="21"/>
      <c r="P243" s="21"/>
      <c r="Q243" s="22" t="str">
        <f aca="false">IF(P243="","",G243*P243)</f>
        <v/>
      </c>
      <c r="R243" s="21"/>
    </row>
    <row r="244" customFormat="false" ht="45.75" hidden="false" customHeight="true" outlineLevel="0" collapsed="false">
      <c r="A244" s="7" t="n">
        <v>29</v>
      </c>
      <c r="B244" s="7" t="s">
        <v>297</v>
      </c>
      <c r="C244" s="8" t="n">
        <v>46467</v>
      </c>
      <c r="D244" s="7" t="s">
        <v>94</v>
      </c>
      <c r="E244" s="7" t="s">
        <v>90</v>
      </c>
      <c r="F244" s="9" t="s">
        <v>300</v>
      </c>
      <c r="G244" s="7" t="n">
        <v>36</v>
      </c>
      <c r="H244" s="10" t="n">
        <v>10</v>
      </c>
      <c r="I244" s="11"/>
      <c r="J244" s="7" t="s">
        <v>231</v>
      </c>
      <c r="K244" s="7" t="str">
        <f aca="false">"All. 10 km "&amp;TEXT((Allures!$C$16+0)/86400,"mm:ss")</f>
        <v>All. 10 km 03:36</v>
      </c>
      <c r="L244" s="7" t="n">
        <v>10</v>
      </c>
      <c r="M244" s="12" t="n">
        <f aca="false">G244*L244</f>
        <v>360</v>
      </c>
      <c r="N244" s="9" t="s">
        <v>301</v>
      </c>
      <c r="O244" s="13"/>
      <c r="P244" s="13"/>
      <c r="Q244" s="14" t="str">
        <f aca="false">IF(P244="","",G244*P244)</f>
        <v/>
      </c>
      <c r="R244" s="13"/>
    </row>
  </sheetData>
  <autoFilter ref="A1:R244"/>
  <dataValidations count="2">
    <dataValidation allowBlank="true" errorStyle="stop" operator="between" showDropDown="false" showErrorMessage="false" showInputMessage="false" sqref="P2:P244" type="whole">
      <formula1>1</formula1>
      <formula2>10</formula2>
    </dataValidation>
    <dataValidation allowBlank="true" errorStyle="stop" operator="between" showDropDown="false" showErrorMessage="false" showInputMessage="false" sqref="O2:O244"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15"/>
    <col collapsed="false" customWidth="true" hidden="false" outlineLevel="0" max="5" min="4" style="1" width="12"/>
    <col collapsed="false" customWidth="true" hidden="false" outlineLevel="0" max="6" min="6" style="1" width="13"/>
    <col collapsed="false" customWidth="true" hidden="false" outlineLevel="0" max="7" min="7" style="1" width="11"/>
    <col collapsed="false" customWidth="true" hidden="false" outlineLevel="0" max="8" min="8" style="1" width="13"/>
    <col collapsed="false" customWidth="true" hidden="false" outlineLevel="0" max="9" min="9" style="1" width="14"/>
    <col collapsed="false" customWidth="true" hidden="false" outlineLevel="0" max="10" min="10" style="1" width="16"/>
    <col collapsed="false" customWidth="true" hidden="false" outlineLevel="0" max="11" min="11" style="1" width="14"/>
    <col collapsed="false" customWidth="true" hidden="false" outlineLevel="0" max="12" min="12" style="1" width="13"/>
    <col collapsed="false" customWidth="true" hidden="false" outlineLevel="0" max="13" min="13" style="1" width="14"/>
    <col collapsed="false" customWidth="true" hidden="false" outlineLevel="0" max="14" min="14" style="1" width="16"/>
  </cols>
  <sheetData>
    <row r="1" customFormat="false" ht="36" hidden="false" customHeight="true" outlineLevel="0" collapsed="false">
      <c r="A1" s="6" t="s">
        <v>70</v>
      </c>
      <c r="B1" s="6" t="s">
        <v>71</v>
      </c>
      <c r="C1" s="6" t="s">
        <v>302</v>
      </c>
      <c r="D1" s="6" t="s">
        <v>303</v>
      </c>
      <c r="E1" s="6" t="s">
        <v>304</v>
      </c>
      <c r="F1" s="6" t="s">
        <v>305</v>
      </c>
      <c r="G1" s="6" t="s">
        <v>306</v>
      </c>
      <c r="H1" s="6" t="s">
        <v>77</v>
      </c>
      <c r="I1" s="6" t="s">
        <v>78</v>
      </c>
      <c r="J1" s="6" t="s">
        <v>82</v>
      </c>
      <c r="K1" s="6" t="s">
        <v>86</v>
      </c>
      <c r="L1" s="6" t="s">
        <v>307</v>
      </c>
      <c r="M1" s="6" t="s">
        <v>308</v>
      </c>
      <c r="N1" s="6" t="s">
        <v>309</v>
      </c>
    </row>
    <row r="2" customFormat="false" ht="15" hidden="false" customHeight="true" outlineLevel="0" collapsed="false">
      <c r="A2" s="41" t="n">
        <v>0</v>
      </c>
      <c r="B2" s="41" t="s">
        <v>88</v>
      </c>
      <c r="C2" s="42" t="n">
        <f aca="false">SUMIFS('Plan détaillé'!$G$2:$G$244,'Plan détaillé'!$A$2:$A$244,$A2)/60</f>
        <v>2.33333333333333</v>
      </c>
      <c r="D2" s="42" t="n">
        <f aca="false">SUMIFS('Plan détaillé'!$G$2:$G$244,'Plan détaillé'!$A$2:$A$244,$A2,'Plan détaillé'!$E$2:$E$244,"Course à pied")/60</f>
        <v>2.33333333333333</v>
      </c>
      <c r="E2" s="42" t="n">
        <f aca="false">SUMIFS('Plan détaillé'!$G$2:$G$244,'Plan détaillé'!$A$2:$A$244,$A2,'Plan détaillé'!$E$2:$E$244,"Hyrox")/60</f>
        <v>0</v>
      </c>
      <c r="F2" s="42" t="n">
        <f aca="false">SUMIFS('Plan détaillé'!$G$2:$G$244,'Plan détaillé'!$A$2:$A$244,$A2,'Plan détaillé'!$E$2:$E$244,"Natation")/60</f>
        <v>0</v>
      </c>
      <c r="G2" s="42" t="n">
        <f aca="false">SUMIFS('Plan détaillé'!$G$2:$G$244,'Plan détaillé'!$A$2:$A$244,$A2,'Plan détaillé'!$E$2:$E$244,"Vélo")/60</f>
        <v>0</v>
      </c>
      <c r="H2" s="43" t="n">
        <f aca="false">SUMIFS('Plan détaillé'!$H$2:$H$244,'Plan détaillé'!$A$2:$A$244,$A2)</f>
        <v>16</v>
      </c>
      <c r="I2" s="44" t="n">
        <f aca="false">SUMIFS('Plan détaillé'!$I$2:$I$244,'Plan détaillé'!$A$2:$A$244,$A2)</f>
        <v>0</v>
      </c>
      <c r="J2" s="14" t="n">
        <f aca="false">SUMIFS('Plan détaillé'!$M$2:$M$244,'Plan détaillé'!$A$2:$A$244,$A2)</f>
        <v>840</v>
      </c>
      <c r="K2" s="14" t="n">
        <f aca="false">SUMIFS('Plan détaillé'!$Q$2:$Q$244,'Plan détaillé'!$A$2:$A$244,$A2)</f>
        <v>0</v>
      </c>
      <c r="L2" s="45" t="n">
        <f aca="false">IF(J2=0,"",IFERROR(K2/J2-1,""))</f>
        <v>-1</v>
      </c>
      <c r="M2" s="41" t="n">
        <f aca="false">COUNTIFS('Plan détaillé'!$A$2:$A$244,$A2,'Plan détaillé'!$O$2:$O$244,"x")</f>
        <v>0</v>
      </c>
      <c r="N2" s="43" t="str">
        <f aca="false">IFERROR(AVERAGEIFS('Plan détaillé'!$P$2:$P$244,'Plan détaillé'!$A$2:$A$244,$A2,'Plan détaillé'!$P$2:$P$244,"&gt;0"),"")</f>
        <v/>
      </c>
    </row>
    <row r="3" customFormat="false" ht="15" hidden="false" customHeight="true" outlineLevel="0" collapsed="false">
      <c r="A3" s="41" t="n">
        <v>1</v>
      </c>
      <c r="B3" s="41" t="s">
        <v>98</v>
      </c>
      <c r="C3" s="42" t="n">
        <f aca="false">SUMIFS('Plan détaillé'!$G$2:$G$244,'Plan détaillé'!$A$2:$A$244,$A3)/60</f>
        <v>4.58333333333333</v>
      </c>
      <c r="D3" s="42" t="n">
        <f aca="false">SUMIFS('Plan détaillé'!$G$2:$G$244,'Plan détaillé'!$A$2:$A$244,$A3,'Plan détaillé'!$E$2:$E$244,"Course à pied")/60</f>
        <v>1.08333333333333</v>
      </c>
      <c r="E3" s="42" t="n">
        <f aca="false">SUMIFS('Plan détaillé'!$G$2:$G$244,'Plan détaillé'!$A$2:$A$244,$A3,'Plan détaillé'!$E$2:$E$244,"Hyrox")/60</f>
        <v>1</v>
      </c>
      <c r="F3" s="42" t="n">
        <f aca="false">SUMIFS('Plan détaillé'!$G$2:$G$244,'Plan détaillé'!$A$2:$A$244,$A3,'Plan détaillé'!$E$2:$E$244,"Natation")/60</f>
        <v>1</v>
      </c>
      <c r="G3" s="42" t="n">
        <f aca="false">SUMIFS('Plan détaillé'!$G$2:$G$244,'Plan détaillé'!$A$2:$A$244,$A3,'Plan détaillé'!$E$2:$E$244,"Vélo")/60</f>
        <v>1.5</v>
      </c>
      <c r="H3" s="43" t="n">
        <f aca="false">SUMIFS('Plan détaillé'!$H$2:$H$244,'Plan détaillé'!$A$2:$A$244,$A3)</f>
        <v>10</v>
      </c>
      <c r="I3" s="44" t="n">
        <f aca="false">SUMIFS('Plan détaillé'!$I$2:$I$244,'Plan détaillé'!$A$2:$A$244,$A3)</f>
        <v>2400</v>
      </c>
      <c r="J3" s="14" t="n">
        <f aca="false">SUMIFS('Plan détaillé'!$M$2:$M$244,'Plan détaillé'!$A$2:$A$244,$A3)</f>
        <v>1155</v>
      </c>
      <c r="K3" s="14" t="n">
        <f aca="false">SUMIFS('Plan détaillé'!$Q$2:$Q$244,'Plan détaillé'!$A$2:$A$244,$A3)</f>
        <v>0</v>
      </c>
      <c r="L3" s="45" t="n">
        <f aca="false">IF(J3=0,"",IFERROR(K3/J3-1,""))</f>
        <v>-1</v>
      </c>
      <c r="M3" s="41" t="n">
        <f aca="false">COUNTIFS('Plan détaillé'!$A$2:$A$244,$A3,'Plan détaillé'!$O$2:$O$244,"x")</f>
        <v>0</v>
      </c>
      <c r="N3" s="43" t="str">
        <f aca="false">IFERROR(AVERAGEIFS('Plan détaillé'!$P$2:$P$244,'Plan détaillé'!$A$2:$A$244,$A3,'Plan détaillé'!$P$2:$P$244,"&gt;0"),"")</f>
        <v/>
      </c>
    </row>
    <row r="4" customFormat="false" ht="15" hidden="false" customHeight="true" outlineLevel="0" collapsed="false">
      <c r="A4" s="41" t="n">
        <v>2</v>
      </c>
      <c r="B4" s="41" t="s">
        <v>122</v>
      </c>
      <c r="C4" s="42" t="n">
        <f aca="false">SUMIFS('Plan détaillé'!$G$2:$G$244,'Plan détaillé'!$A$2:$A$244,$A4)/60</f>
        <v>8</v>
      </c>
      <c r="D4" s="42" t="n">
        <f aca="false">SUMIFS('Plan détaillé'!$G$2:$G$244,'Plan détaillé'!$A$2:$A$244,$A4,'Plan détaillé'!$E$2:$E$244,"Course à pied")/60</f>
        <v>2.21666666666667</v>
      </c>
      <c r="E4" s="42" t="n">
        <f aca="false">SUMIFS('Plan détaillé'!$G$2:$G$244,'Plan détaillé'!$A$2:$A$244,$A4,'Plan détaillé'!$E$2:$E$244,"Hyrox")/60</f>
        <v>2.16666666666667</v>
      </c>
      <c r="F4" s="42" t="n">
        <f aca="false">SUMIFS('Plan détaillé'!$G$2:$G$244,'Plan détaillé'!$A$2:$A$244,$A4,'Plan détaillé'!$E$2:$E$244,"Natation")/60</f>
        <v>1.58333333333333</v>
      </c>
      <c r="G4" s="42" t="n">
        <f aca="false">SUMIFS('Plan détaillé'!$G$2:$G$244,'Plan détaillé'!$A$2:$A$244,$A4,'Plan détaillé'!$E$2:$E$244,"Vélo")/60</f>
        <v>2.03333333333333</v>
      </c>
      <c r="H4" s="43" t="n">
        <f aca="false">SUMIFS('Plan détaillé'!$H$2:$H$244,'Plan détaillé'!$A$2:$A$244,$A4)</f>
        <v>24.2</v>
      </c>
      <c r="I4" s="44" t="n">
        <f aca="false">SUMIFS('Plan détaillé'!$I$2:$I$244,'Plan détaillé'!$A$2:$A$244,$A4)</f>
        <v>4200</v>
      </c>
      <c r="J4" s="14" t="n">
        <f aca="false">SUMIFS('Plan détaillé'!$M$2:$M$244,'Plan détaillé'!$A$2:$A$244,$A4)</f>
        <v>1920</v>
      </c>
      <c r="K4" s="14" t="n">
        <f aca="false">SUMIFS('Plan détaillé'!$Q$2:$Q$244,'Plan détaillé'!$A$2:$A$244,$A4)</f>
        <v>0</v>
      </c>
      <c r="L4" s="45" t="n">
        <f aca="false">IF(J4=0,"",IFERROR(K4/J4-1,""))</f>
        <v>-1</v>
      </c>
      <c r="M4" s="41" t="n">
        <f aca="false">COUNTIFS('Plan détaillé'!$A$2:$A$244,$A4,'Plan détaillé'!$O$2:$O$244,"x")</f>
        <v>0</v>
      </c>
      <c r="N4" s="43" t="str">
        <f aca="false">IFERROR(AVERAGEIFS('Plan détaillé'!$P$2:$P$244,'Plan détaillé'!$A$2:$A$244,$A4,'Plan détaillé'!$P$2:$P$244,"&gt;0"),"")</f>
        <v/>
      </c>
    </row>
    <row r="5" customFormat="false" ht="15" hidden="false" customHeight="true" outlineLevel="0" collapsed="false">
      <c r="A5" s="41" t="n">
        <v>3</v>
      </c>
      <c r="B5" s="41" t="s">
        <v>122</v>
      </c>
      <c r="C5" s="42" t="n">
        <f aca="false">SUMIFS('Plan détaillé'!$G$2:$G$244,'Plan détaillé'!$A$2:$A$244,$A5)/60</f>
        <v>8.8</v>
      </c>
      <c r="D5" s="42" t="n">
        <f aca="false">SUMIFS('Plan détaillé'!$G$2:$G$244,'Plan détaillé'!$A$2:$A$244,$A5,'Plan détaillé'!$E$2:$E$244,"Course à pied")/60</f>
        <v>4.96666666666667</v>
      </c>
      <c r="E5" s="42" t="n">
        <f aca="false">SUMIFS('Plan détaillé'!$G$2:$G$244,'Plan détaillé'!$A$2:$A$244,$A5,'Plan détaillé'!$E$2:$E$244,"Hyrox")/60</f>
        <v>2.08333333333333</v>
      </c>
      <c r="F5" s="42" t="n">
        <f aca="false">SUMIFS('Plan détaillé'!$G$2:$G$244,'Plan détaillé'!$A$2:$A$244,$A5,'Plan détaillé'!$E$2:$E$244,"Natation")/60</f>
        <v>1.75</v>
      </c>
      <c r="G5" s="42" t="n">
        <f aca="false">SUMIFS('Plan détaillé'!$G$2:$G$244,'Plan détaillé'!$A$2:$A$244,$A5,'Plan détaillé'!$E$2:$E$244,"Vélo")/60</f>
        <v>0</v>
      </c>
      <c r="H5" s="43" t="n">
        <f aca="false">SUMIFS('Plan détaillé'!$H$2:$H$244,'Plan détaillé'!$A$2:$A$244,$A5)</f>
        <v>42.2</v>
      </c>
      <c r="I5" s="44" t="n">
        <f aca="false">SUMIFS('Plan détaillé'!$I$2:$I$244,'Plan détaillé'!$A$2:$A$244,$A5)</f>
        <v>4600</v>
      </c>
      <c r="J5" s="14" t="n">
        <f aca="false">SUMIFS('Plan détaillé'!$M$2:$M$244,'Plan détaillé'!$A$2:$A$244,$A5)</f>
        <v>3019</v>
      </c>
      <c r="K5" s="14" t="n">
        <f aca="false">SUMIFS('Plan détaillé'!$Q$2:$Q$244,'Plan détaillé'!$A$2:$A$244,$A5)</f>
        <v>0</v>
      </c>
      <c r="L5" s="45" t="n">
        <f aca="false">IF(J5=0,"",IFERROR(K5/J5-1,""))</f>
        <v>-1</v>
      </c>
      <c r="M5" s="41" t="n">
        <f aca="false">COUNTIFS('Plan détaillé'!$A$2:$A$244,$A5,'Plan détaillé'!$O$2:$O$244,"x")</f>
        <v>0</v>
      </c>
      <c r="N5" s="43" t="str">
        <f aca="false">IFERROR(AVERAGEIFS('Plan détaillé'!$P$2:$P$244,'Plan détaillé'!$A$2:$A$244,$A5,'Plan détaillé'!$P$2:$P$244,"&gt;0"),"")</f>
        <v/>
      </c>
    </row>
    <row r="6" customFormat="false" ht="15" hidden="false" customHeight="true" outlineLevel="0" collapsed="false">
      <c r="A6" s="46" t="n">
        <v>4</v>
      </c>
      <c r="B6" s="46" t="s">
        <v>150</v>
      </c>
      <c r="C6" s="47" t="n">
        <f aca="false">SUMIFS('Plan détaillé'!$G$2:$G$244,'Plan détaillé'!$A$2:$A$244,$A6)/60</f>
        <v>8</v>
      </c>
      <c r="D6" s="47" t="n">
        <f aca="false">SUMIFS('Plan détaillé'!$G$2:$G$244,'Plan détaillé'!$A$2:$A$244,$A6,'Plan détaillé'!$E$2:$E$244,"Course à pied")/60</f>
        <v>2.13333333333333</v>
      </c>
      <c r="E6" s="47" t="n">
        <f aca="false">SUMIFS('Plan détaillé'!$G$2:$G$244,'Plan détaillé'!$A$2:$A$244,$A6,'Plan détaillé'!$E$2:$E$244,"Hyrox")/60</f>
        <v>2.58333333333333</v>
      </c>
      <c r="F6" s="47" t="n">
        <f aca="false">SUMIFS('Plan détaillé'!$G$2:$G$244,'Plan détaillé'!$A$2:$A$244,$A6,'Plan détaillé'!$E$2:$E$244,"Natation")/60</f>
        <v>1.91666666666667</v>
      </c>
      <c r="G6" s="47" t="n">
        <f aca="false">SUMIFS('Plan détaillé'!$G$2:$G$244,'Plan détaillé'!$A$2:$A$244,$A6,'Plan détaillé'!$E$2:$E$244,"Vélo")/60</f>
        <v>1.36666666666667</v>
      </c>
      <c r="H6" s="48" t="n">
        <f aca="false">SUMIFS('Plan détaillé'!$H$2:$H$244,'Plan détaillé'!$A$2:$A$244,$A6)</f>
        <v>24</v>
      </c>
      <c r="I6" s="49" t="n">
        <f aca="false">SUMIFS('Plan détaillé'!$I$2:$I$244,'Plan détaillé'!$A$2:$A$244,$A6)</f>
        <v>5000</v>
      </c>
      <c r="J6" s="50" t="n">
        <f aca="false">SUMIFS('Plan détaillé'!$M$2:$M$244,'Plan détaillé'!$A$2:$A$244,$A6)</f>
        <v>2167</v>
      </c>
      <c r="K6" s="50" t="n">
        <f aca="false">SUMIFS('Plan détaillé'!$Q$2:$Q$244,'Plan détaillé'!$A$2:$A$244,$A6)</f>
        <v>0</v>
      </c>
      <c r="L6" s="51" t="n">
        <f aca="false">IF(J6=0,"",IFERROR(K6/J6-1,""))</f>
        <v>-1</v>
      </c>
      <c r="M6" s="46" t="n">
        <f aca="false">COUNTIFS('Plan détaillé'!$A$2:$A$244,$A6,'Plan détaillé'!$O$2:$O$244,"x")</f>
        <v>0</v>
      </c>
      <c r="N6" s="48" t="str">
        <f aca="false">IFERROR(AVERAGEIFS('Plan détaillé'!$P$2:$P$244,'Plan détaillé'!$A$2:$A$244,$A6,'Plan détaillé'!$P$2:$P$244,"&gt;0"),"")</f>
        <v/>
      </c>
    </row>
    <row r="7" customFormat="false" ht="15" hidden="false" customHeight="true" outlineLevel="0" collapsed="false">
      <c r="A7" s="41" t="n">
        <v>5</v>
      </c>
      <c r="B7" s="41" t="s">
        <v>122</v>
      </c>
      <c r="C7" s="42" t="n">
        <f aca="false">SUMIFS('Plan détaillé'!$G$2:$G$244,'Plan détaillé'!$A$2:$A$244,$A7)/60</f>
        <v>8</v>
      </c>
      <c r="D7" s="42" t="n">
        <f aca="false">SUMIFS('Plan détaillé'!$G$2:$G$244,'Plan détaillé'!$A$2:$A$244,$A7,'Plan détaillé'!$E$2:$E$244,"Course à pied")/60</f>
        <v>2.46666666666667</v>
      </c>
      <c r="E7" s="42" t="n">
        <f aca="false">SUMIFS('Plan détaillé'!$G$2:$G$244,'Plan détaillé'!$A$2:$A$244,$A7,'Plan détaillé'!$E$2:$E$244,"Hyrox")/60</f>
        <v>2.66666666666667</v>
      </c>
      <c r="F7" s="42" t="n">
        <f aca="false">SUMIFS('Plan détaillé'!$G$2:$G$244,'Plan détaillé'!$A$2:$A$244,$A7,'Plan détaillé'!$E$2:$E$244,"Natation")/60</f>
        <v>2</v>
      </c>
      <c r="G7" s="42" t="n">
        <f aca="false">SUMIFS('Plan détaillé'!$G$2:$G$244,'Plan détaillé'!$A$2:$A$244,$A7,'Plan détaillé'!$E$2:$E$244,"Vélo")/60</f>
        <v>0.866666666666667</v>
      </c>
      <c r="H7" s="43" t="n">
        <f aca="false">SUMIFS('Plan détaillé'!$H$2:$H$244,'Plan détaillé'!$A$2:$A$244,$A7)</f>
        <v>28</v>
      </c>
      <c r="I7" s="44" t="n">
        <f aca="false">SUMIFS('Plan détaillé'!$I$2:$I$244,'Plan détaillé'!$A$2:$A$244,$A7)</f>
        <v>5400</v>
      </c>
      <c r="J7" s="14" t="n">
        <f aca="false">SUMIFS('Plan détaillé'!$M$2:$M$244,'Plan détaillé'!$A$2:$A$244,$A7)</f>
        <v>2573</v>
      </c>
      <c r="K7" s="14" t="n">
        <f aca="false">SUMIFS('Plan détaillé'!$Q$2:$Q$244,'Plan détaillé'!$A$2:$A$244,$A7)</f>
        <v>0</v>
      </c>
      <c r="L7" s="45" t="n">
        <f aca="false">IF(J7=0,"",IFERROR(K7/J7-1,""))</f>
        <v>-1</v>
      </c>
      <c r="M7" s="41" t="n">
        <f aca="false">COUNTIFS('Plan détaillé'!$A$2:$A$244,$A7,'Plan détaillé'!$O$2:$O$244,"x")</f>
        <v>0</v>
      </c>
      <c r="N7" s="43" t="str">
        <f aca="false">IFERROR(AVERAGEIFS('Plan détaillé'!$P$2:$P$244,'Plan détaillé'!$A$2:$A$244,$A7,'Plan détaillé'!$P$2:$P$244,"&gt;0"),"")</f>
        <v/>
      </c>
    </row>
    <row r="8" customFormat="false" ht="15" hidden="false" customHeight="true" outlineLevel="0" collapsed="false">
      <c r="A8" s="41" t="n">
        <v>6</v>
      </c>
      <c r="B8" s="41" t="s">
        <v>122</v>
      </c>
      <c r="C8" s="42" t="n">
        <f aca="false">SUMIFS('Plan détaillé'!$G$2:$G$244,'Plan détaillé'!$A$2:$A$244,$A8)/60</f>
        <v>9.88333333333333</v>
      </c>
      <c r="D8" s="42" t="n">
        <f aca="false">SUMIFS('Plan détaillé'!$G$2:$G$244,'Plan détaillé'!$A$2:$A$244,$A8,'Plan détaillé'!$E$2:$E$244,"Course à pied")/60</f>
        <v>5.63333333333333</v>
      </c>
      <c r="E8" s="42" t="n">
        <f aca="false">SUMIFS('Plan détaillé'!$G$2:$G$244,'Plan détaillé'!$A$2:$A$244,$A8,'Plan détaillé'!$E$2:$E$244,"Hyrox")/60</f>
        <v>2.16666666666667</v>
      </c>
      <c r="F8" s="42" t="n">
        <f aca="false">SUMIFS('Plan détaillé'!$G$2:$G$244,'Plan détaillé'!$A$2:$A$244,$A8,'Plan détaillé'!$E$2:$E$244,"Natation")/60</f>
        <v>2.08333333333333</v>
      </c>
      <c r="G8" s="42" t="n">
        <f aca="false">SUMIFS('Plan détaillé'!$G$2:$G$244,'Plan détaillé'!$A$2:$A$244,$A8,'Plan détaillé'!$E$2:$E$244,"Vélo")/60</f>
        <v>0</v>
      </c>
      <c r="H8" s="43" t="n">
        <f aca="false">SUMIFS('Plan détaillé'!$H$2:$H$244,'Plan détaillé'!$A$2:$A$244,$A8)</f>
        <v>49</v>
      </c>
      <c r="I8" s="44" t="n">
        <f aca="false">SUMIFS('Plan détaillé'!$I$2:$I$244,'Plan détaillé'!$A$2:$A$244,$A8)</f>
        <v>5800</v>
      </c>
      <c r="J8" s="14" t="n">
        <f aca="false">SUMIFS('Plan détaillé'!$M$2:$M$244,'Plan détaillé'!$A$2:$A$244,$A8)</f>
        <v>3484</v>
      </c>
      <c r="K8" s="14" t="n">
        <f aca="false">SUMIFS('Plan détaillé'!$Q$2:$Q$244,'Plan détaillé'!$A$2:$A$244,$A8)</f>
        <v>0</v>
      </c>
      <c r="L8" s="45" t="n">
        <f aca="false">IF(J8=0,"",IFERROR(K8/J8-1,""))</f>
        <v>-1</v>
      </c>
      <c r="M8" s="41" t="n">
        <f aca="false">COUNTIFS('Plan détaillé'!$A$2:$A$244,$A8,'Plan détaillé'!$O$2:$O$244,"x")</f>
        <v>0</v>
      </c>
      <c r="N8" s="43" t="str">
        <f aca="false">IFERROR(AVERAGEIFS('Plan détaillé'!$P$2:$P$244,'Plan détaillé'!$A$2:$A$244,$A8,'Plan détaillé'!$P$2:$P$244,"&gt;0"),"")</f>
        <v/>
      </c>
    </row>
    <row r="9" customFormat="false" ht="15" hidden="false" customHeight="true" outlineLevel="0" collapsed="false">
      <c r="A9" s="41" t="n">
        <v>7</v>
      </c>
      <c r="B9" s="41" t="s">
        <v>170</v>
      </c>
      <c r="C9" s="42" t="n">
        <f aca="false">SUMIFS('Plan détaillé'!$G$2:$G$244,'Plan détaillé'!$A$2:$A$244,$A9)/60</f>
        <v>9.21666666666667</v>
      </c>
      <c r="D9" s="42" t="n">
        <f aca="false">SUMIFS('Plan détaillé'!$G$2:$G$244,'Plan détaillé'!$A$2:$A$244,$A9,'Plan détaillé'!$E$2:$E$244,"Course à pied")/60</f>
        <v>3.71666666666667</v>
      </c>
      <c r="E9" s="42" t="n">
        <f aca="false">SUMIFS('Plan détaillé'!$G$2:$G$244,'Plan détaillé'!$A$2:$A$244,$A9,'Plan détaillé'!$E$2:$E$244,"Hyrox")/60</f>
        <v>2.75</v>
      </c>
      <c r="F9" s="42" t="n">
        <f aca="false">SUMIFS('Plan détaillé'!$G$2:$G$244,'Plan détaillé'!$A$2:$A$244,$A9,'Plan détaillé'!$E$2:$E$244,"Natation")/60</f>
        <v>2</v>
      </c>
      <c r="G9" s="42" t="n">
        <f aca="false">SUMIFS('Plan détaillé'!$G$2:$G$244,'Plan détaillé'!$A$2:$A$244,$A9,'Plan détaillé'!$E$2:$E$244,"Vélo")/60</f>
        <v>0.75</v>
      </c>
      <c r="H9" s="43" t="n">
        <f aca="false">SUMIFS('Plan détaillé'!$H$2:$H$244,'Plan détaillé'!$A$2:$A$244,$A9)</f>
        <v>41.4</v>
      </c>
      <c r="I9" s="44" t="n">
        <f aca="false">SUMIFS('Plan détaillé'!$I$2:$I$244,'Plan détaillé'!$A$2:$A$244,$A9)</f>
        <v>5400</v>
      </c>
      <c r="J9" s="14" t="n">
        <f aca="false">SUMIFS('Plan détaillé'!$M$2:$M$244,'Plan détaillé'!$A$2:$A$244,$A9)</f>
        <v>2975</v>
      </c>
      <c r="K9" s="14" t="n">
        <f aca="false">SUMIFS('Plan détaillé'!$Q$2:$Q$244,'Plan détaillé'!$A$2:$A$244,$A9)</f>
        <v>0</v>
      </c>
      <c r="L9" s="45" t="n">
        <f aca="false">IF(J9=0,"",IFERROR(K9/J9-1,""))</f>
        <v>-1</v>
      </c>
      <c r="M9" s="41" t="n">
        <f aca="false">COUNTIFS('Plan détaillé'!$A$2:$A$244,$A9,'Plan détaillé'!$O$2:$O$244,"x")</f>
        <v>0</v>
      </c>
      <c r="N9" s="43" t="str">
        <f aca="false">IFERROR(AVERAGEIFS('Plan détaillé'!$P$2:$P$244,'Plan détaillé'!$A$2:$A$244,$A9,'Plan détaillé'!$P$2:$P$244,"&gt;0"),"")</f>
        <v/>
      </c>
    </row>
    <row r="10" customFormat="false" ht="15" hidden="false" customHeight="true" outlineLevel="0" collapsed="false">
      <c r="A10" s="41" t="n">
        <v>8</v>
      </c>
      <c r="B10" s="41" t="s">
        <v>170</v>
      </c>
      <c r="C10" s="42" t="n">
        <f aca="false">SUMIFS('Plan détaillé'!$G$2:$G$244,'Plan détaillé'!$A$2:$A$244,$A10)/60</f>
        <v>9.81666666666667</v>
      </c>
      <c r="D10" s="42" t="n">
        <f aca="false">SUMIFS('Plan détaillé'!$G$2:$G$244,'Plan détaillé'!$A$2:$A$244,$A10,'Plan détaillé'!$E$2:$E$244,"Course à pied")/60</f>
        <v>3.98333333333333</v>
      </c>
      <c r="E10" s="42" t="n">
        <f aca="false">SUMIFS('Plan détaillé'!$G$2:$G$244,'Plan détaillé'!$A$2:$A$244,$A10,'Plan détaillé'!$E$2:$E$244,"Hyrox")/60</f>
        <v>2.75</v>
      </c>
      <c r="F10" s="42" t="n">
        <f aca="false">SUMIFS('Plan détaillé'!$G$2:$G$244,'Plan détaillé'!$A$2:$A$244,$A10,'Plan détaillé'!$E$2:$E$244,"Natation")/60</f>
        <v>2.33333333333333</v>
      </c>
      <c r="G10" s="42" t="n">
        <f aca="false">SUMIFS('Plan détaillé'!$G$2:$G$244,'Plan détaillé'!$A$2:$A$244,$A10,'Plan détaillé'!$E$2:$E$244,"Vélo")/60</f>
        <v>0.75</v>
      </c>
      <c r="H10" s="43" t="n">
        <f aca="false">SUMIFS('Plan détaillé'!$H$2:$H$244,'Plan détaillé'!$A$2:$A$244,$A10)</f>
        <v>44.4</v>
      </c>
      <c r="I10" s="44" t="n">
        <f aca="false">SUMIFS('Plan détaillé'!$I$2:$I$244,'Plan détaillé'!$A$2:$A$244,$A10)</f>
        <v>6400</v>
      </c>
      <c r="J10" s="14" t="n">
        <f aca="false">SUMIFS('Plan détaillé'!$M$2:$M$244,'Plan détaillé'!$A$2:$A$244,$A10)</f>
        <v>3263</v>
      </c>
      <c r="K10" s="14" t="n">
        <f aca="false">SUMIFS('Plan détaillé'!$Q$2:$Q$244,'Plan détaillé'!$A$2:$A$244,$A10)</f>
        <v>0</v>
      </c>
      <c r="L10" s="45" t="n">
        <f aca="false">IF(J10=0,"",IFERROR(K10/J10-1,""))</f>
        <v>-1</v>
      </c>
      <c r="M10" s="41" t="n">
        <f aca="false">COUNTIFS('Plan détaillé'!$A$2:$A$244,$A10,'Plan détaillé'!$O$2:$O$244,"x")</f>
        <v>0</v>
      </c>
      <c r="N10" s="43" t="str">
        <f aca="false">IFERROR(AVERAGEIFS('Plan détaillé'!$P$2:$P$244,'Plan détaillé'!$A$2:$A$244,$A10,'Plan détaillé'!$P$2:$P$244,"&gt;0"),"")</f>
        <v/>
      </c>
    </row>
    <row r="11" customFormat="false" ht="15" hidden="false" customHeight="true" outlineLevel="0" collapsed="false">
      <c r="A11" s="41" t="n">
        <v>9</v>
      </c>
      <c r="B11" s="41" t="s">
        <v>170</v>
      </c>
      <c r="C11" s="42" t="n">
        <f aca="false">SUMIFS('Plan détaillé'!$G$2:$G$244,'Plan détaillé'!$A$2:$A$244,$A11)/60</f>
        <v>10.8</v>
      </c>
      <c r="D11" s="42" t="n">
        <f aca="false">SUMIFS('Plan détaillé'!$G$2:$G$244,'Plan détaillé'!$A$2:$A$244,$A11,'Plan détaillé'!$E$2:$E$244,"Course à pied")/60</f>
        <v>6.05</v>
      </c>
      <c r="E11" s="42" t="n">
        <f aca="false">SUMIFS('Plan détaillé'!$G$2:$G$244,'Plan détaillé'!$A$2:$A$244,$A11,'Plan détaillé'!$E$2:$E$244,"Hyrox")/60</f>
        <v>2.25</v>
      </c>
      <c r="F11" s="42" t="n">
        <f aca="false">SUMIFS('Plan détaillé'!$G$2:$G$244,'Plan détaillé'!$A$2:$A$244,$A11,'Plan détaillé'!$E$2:$E$244,"Natation")/60</f>
        <v>2.5</v>
      </c>
      <c r="G11" s="42" t="n">
        <f aca="false">SUMIFS('Plan détaillé'!$G$2:$G$244,'Plan détaillé'!$A$2:$A$244,$A11,'Plan détaillé'!$E$2:$E$244,"Vélo")/60</f>
        <v>0</v>
      </c>
      <c r="H11" s="43" t="n">
        <f aca="false">SUMIFS('Plan détaillé'!$H$2:$H$244,'Plan détaillé'!$A$2:$A$244,$A11)</f>
        <v>52.4</v>
      </c>
      <c r="I11" s="44" t="n">
        <f aca="false">SUMIFS('Plan détaillé'!$I$2:$I$244,'Plan détaillé'!$A$2:$A$244,$A11)</f>
        <v>6800</v>
      </c>
      <c r="J11" s="14" t="n">
        <f aca="false">SUMIFS('Plan détaillé'!$M$2:$M$244,'Plan détaillé'!$A$2:$A$244,$A11)</f>
        <v>4154</v>
      </c>
      <c r="K11" s="14" t="n">
        <f aca="false">SUMIFS('Plan détaillé'!$Q$2:$Q$244,'Plan détaillé'!$A$2:$A$244,$A11)</f>
        <v>0</v>
      </c>
      <c r="L11" s="45" t="n">
        <f aca="false">IF(J11=0,"",IFERROR(K11/J11-1,""))</f>
        <v>-1</v>
      </c>
      <c r="M11" s="41" t="n">
        <f aca="false">COUNTIFS('Plan détaillé'!$A$2:$A$244,$A11,'Plan détaillé'!$O$2:$O$244,"x")</f>
        <v>0</v>
      </c>
      <c r="N11" s="43" t="str">
        <f aca="false">IFERROR(AVERAGEIFS('Plan détaillé'!$P$2:$P$244,'Plan détaillé'!$A$2:$A$244,$A11,'Plan détaillé'!$P$2:$P$244,"&gt;0"),"")</f>
        <v/>
      </c>
    </row>
    <row r="12" customFormat="false" ht="15" hidden="false" customHeight="true" outlineLevel="0" collapsed="false">
      <c r="A12" s="46" t="n">
        <v>10</v>
      </c>
      <c r="B12" s="46" t="s">
        <v>196</v>
      </c>
      <c r="C12" s="47" t="n">
        <f aca="false">SUMIFS('Plan détaillé'!$G$2:$G$244,'Plan détaillé'!$A$2:$A$244,$A12)/60</f>
        <v>8.13333333333333</v>
      </c>
      <c r="D12" s="47" t="n">
        <f aca="false">SUMIFS('Plan détaillé'!$G$2:$G$244,'Plan détaillé'!$A$2:$A$244,$A12,'Plan détaillé'!$E$2:$E$244,"Course à pied")/60</f>
        <v>2.46666666666667</v>
      </c>
      <c r="E12" s="47" t="n">
        <f aca="false">SUMIFS('Plan détaillé'!$G$2:$G$244,'Plan détaillé'!$A$2:$A$244,$A12,'Plan détaillé'!$E$2:$E$244,"Hyrox")/60</f>
        <v>2.75</v>
      </c>
      <c r="F12" s="47" t="n">
        <f aca="false">SUMIFS('Plan détaillé'!$G$2:$G$244,'Plan détaillé'!$A$2:$A$244,$A12,'Plan détaillé'!$E$2:$E$244,"Natation")/60</f>
        <v>2.16666666666667</v>
      </c>
      <c r="G12" s="47" t="n">
        <f aca="false">SUMIFS('Plan détaillé'!$G$2:$G$244,'Plan détaillé'!$A$2:$A$244,$A12,'Plan détaillé'!$E$2:$E$244,"Vélo")/60</f>
        <v>0.75</v>
      </c>
      <c r="H12" s="48" t="n">
        <f aca="false">SUMIFS('Plan détaillé'!$H$2:$H$244,'Plan détaillé'!$A$2:$A$244,$A12)</f>
        <v>28.4</v>
      </c>
      <c r="I12" s="49" t="n">
        <f aca="false">SUMIFS('Plan détaillé'!$I$2:$I$244,'Plan détaillé'!$A$2:$A$244,$A12)</f>
        <v>6000</v>
      </c>
      <c r="J12" s="50" t="n">
        <f aca="false">SUMIFS('Plan détaillé'!$M$2:$M$244,'Plan détaillé'!$A$2:$A$244,$A12)</f>
        <v>2666</v>
      </c>
      <c r="K12" s="50" t="n">
        <f aca="false">SUMIFS('Plan détaillé'!$Q$2:$Q$244,'Plan détaillé'!$A$2:$A$244,$A12)</f>
        <v>0</v>
      </c>
      <c r="L12" s="51" t="n">
        <f aca="false">IF(J12=0,"",IFERROR(K12/J12-1,""))</f>
        <v>-1</v>
      </c>
      <c r="M12" s="46" t="n">
        <f aca="false">COUNTIFS('Plan détaillé'!$A$2:$A$244,$A12,'Plan détaillé'!$O$2:$O$244,"x")</f>
        <v>0</v>
      </c>
      <c r="N12" s="48" t="str">
        <f aca="false">IFERROR(AVERAGEIFS('Plan détaillé'!$P$2:$P$244,'Plan détaillé'!$A$2:$A$244,$A12,'Plan détaillé'!$P$2:$P$244,"&gt;0"),"")</f>
        <v/>
      </c>
    </row>
    <row r="13" customFormat="false" ht="15" hidden="false" customHeight="true" outlineLevel="0" collapsed="false">
      <c r="A13" s="41" t="n">
        <v>11</v>
      </c>
      <c r="B13" s="41" t="s">
        <v>170</v>
      </c>
      <c r="C13" s="42" t="n">
        <f aca="false">SUMIFS('Plan détaillé'!$G$2:$G$244,'Plan détaillé'!$A$2:$A$244,$A13)/60</f>
        <v>9.78333333333333</v>
      </c>
      <c r="D13" s="42" t="n">
        <f aca="false">SUMIFS('Plan détaillé'!$G$2:$G$244,'Plan détaillé'!$A$2:$A$244,$A13,'Plan détaillé'!$E$2:$E$244,"Course à pied")/60</f>
        <v>3.7</v>
      </c>
      <c r="E13" s="42" t="n">
        <f aca="false">SUMIFS('Plan détaillé'!$G$2:$G$244,'Plan détaillé'!$A$2:$A$244,$A13,'Plan détaillé'!$E$2:$E$244,"Hyrox")/60</f>
        <v>2.75</v>
      </c>
      <c r="F13" s="42" t="n">
        <f aca="false">SUMIFS('Plan détaillé'!$G$2:$G$244,'Plan détaillé'!$A$2:$A$244,$A13,'Plan détaillé'!$E$2:$E$244,"Natation")/60</f>
        <v>2.58333333333333</v>
      </c>
      <c r="G13" s="42" t="n">
        <f aca="false">SUMIFS('Plan détaillé'!$G$2:$G$244,'Plan détaillé'!$A$2:$A$244,$A13,'Plan détaillé'!$E$2:$E$244,"Vélo")/60</f>
        <v>0.75</v>
      </c>
      <c r="H13" s="43" t="n">
        <f aca="false">SUMIFS('Plan détaillé'!$H$2:$H$244,'Plan détaillé'!$A$2:$A$244,$A13)</f>
        <v>41.4</v>
      </c>
      <c r="I13" s="44" t="n">
        <f aca="false">SUMIFS('Plan détaillé'!$I$2:$I$244,'Plan détaillé'!$A$2:$A$244,$A13)</f>
        <v>7200</v>
      </c>
      <c r="J13" s="14" t="n">
        <f aca="false">SUMIFS('Plan détaillé'!$M$2:$M$244,'Plan détaillé'!$A$2:$A$244,$A13)</f>
        <v>3231</v>
      </c>
      <c r="K13" s="14" t="n">
        <f aca="false">SUMIFS('Plan détaillé'!$Q$2:$Q$244,'Plan détaillé'!$A$2:$A$244,$A13)</f>
        <v>0</v>
      </c>
      <c r="L13" s="45" t="n">
        <f aca="false">IF(J13=0,"",IFERROR(K13/J13-1,""))</f>
        <v>-1</v>
      </c>
      <c r="M13" s="41" t="n">
        <f aca="false">COUNTIFS('Plan détaillé'!$A$2:$A$244,$A13,'Plan détaillé'!$O$2:$O$244,"x")</f>
        <v>0</v>
      </c>
      <c r="N13" s="43" t="str">
        <f aca="false">IFERROR(AVERAGEIFS('Plan détaillé'!$P$2:$P$244,'Plan détaillé'!$A$2:$A$244,$A13,'Plan détaillé'!$P$2:$P$244,"&gt;0"),"")</f>
        <v/>
      </c>
    </row>
    <row r="14" customFormat="false" ht="15" hidden="false" customHeight="true" outlineLevel="0" collapsed="false">
      <c r="A14" s="52" t="n">
        <v>12</v>
      </c>
      <c r="B14" s="52" t="s">
        <v>211</v>
      </c>
      <c r="C14" s="53" t="n">
        <f aca="false">SUMIFS('Plan détaillé'!$G$2:$G$244,'Plan détaillé'!$A$2:$A$244,$A14)/60</f>
        <v>4.63333333333333</v>
      </c>
      <c r="D14" s="53" t="n">
        <f aca="false">SUMIFS('Plan détaillé'!$G$2:$G$244,'Plan détaillé'!$A$2:$A$244,$A14,'Plan détaillé'!$E$2:$E$244,"Course à pied")/60</f>
        <v>2.55</v>
      </c>
      <c r="E14" s="53" t="n">
        <f aca="false">SUMIFS('Plan détaillé'!$G$2:$G$244,'Plan détaillé'!$A$2:$A$244,$A14,'Plan détaillé'!$E$2:$E$244,"Hyrox")/60</f>
        <v>0.666666666666667</v>
      </c>
      <c r="F14" s="53" t="n">
        <f aca="false">SUMIFS('Plan détaillé'!$G$2:$G$244,'Plan détaillé'!$A$2:$A$244,$A14,'Plan détaillé'!$E$2:$E$244,"Natation")/60</f>
        <v>1.41666666666667</v>
      </c>
      <c r="G14" s="53" t="n">
        <f aca="false">SUMIFS('Plan détaillé'!$G$2:$G$244,'Plan détaillé'!$A$2:$A$244,$A14,'Plan détaillé'!$E$2:$E$244,"Vélo")/60</f>
        <v>0</v>
      </c>
      <c r="H14" s="54" t="n">
        <f aca="false">SUMIFS('Plan détaillé'!$H$2:$H$244,'Plan détaillé'!$A$2:$A$244,$A14)</f>
        <v>31.1</v>
      </c>
      <c r="I14" s="55" t="n">
        <f aca="false">SUMIFS('Plan détaillé'!$I$2:$I$244,'Plan détaillé'!$A$2:$A$244,$A14)</f>
        <v>3500</v>
      </c>
      <c r="J14" s="56" t="n">
        <f aca="false">SUMIFS('Plan détaillé'!$M$2:$M$244,'Plan détaillé'!$A$2:$A$244,$A14)</f>
        <v>1750</v>
      </c>
      <c r="K14" s="56" t="n">
        <f aca="false">SUMIFS('Plan détaillé'!$Q$2:$Q$244,'Plan détaillé'!$A$2:$A$244,$A14)</f>
        <v>0</v>
      </c>
      <c r="L14" s="57" t="n">
        <f aca="false">IF(J14=0,"",IFERROR(K14/J14-1,""))</f>
        <v>-1</v>
      </c>
      <c r="M14" s="52" t="n">
        <f aca="false">COUNTIFS('Plan détaillé'!$A$2:$A$244,$A14,'Plan détaillé'!$O$2:$O$244,"x")</f>
        <v>0</v>
      </c>
      <c r="N14" s="54" t="str">
        <f aca="false">IFERROR(AVERAGEIFS('Plan détaillé'!$P$2:$P$244,'Plan détaillé'!$A$2:$A$244,$A14,'Plan détaillé'!$P$2:$P$244,"&gt;0"),"")</f>
        <v/>
      </c>
    </row>
    <row r="15" customFormat="false" ht="15" hidden="false" customHeight="true" outlineLevel="0" collapsed="false">
      <c r="A15" s="52" t="n">
        <v>13</v>
      </c>
      <c r="B15" s="52" t="s">
        <v>223</v>
      </c>
      <c r="C15" s="53" t="n">
        <f aca="false">SUMIFS('Plan détaillé'!$G$2:$G$244,'Plan détaillé'!$A$2:$A$244,$A15)/60</f>
        <v>5.38333333333333</v>
      </c>
      <c r="D15" s="53" t="n">
        <f aca="false">SUMIFS('Plan détaillé'!$G$2:$G$244,'Plan détaillé'!$A$2:$A$244,$A15,'Plan détaillé'!$E$2:$E$244,"Course à pied")/60</f>
        <v>1.63333333333333</v>
      </c>
      <c r="E15" s="53" t="n">
        <f aca="false">SUMIFS('Plan détaillé'!$G$2:$G$244,'Plan détaillé'!$A$2:$A$244,$A15,'Plan détaillé'!$E$2:$E$244,"Hyrox")/60</f>
        <v>1.75</v>
      </c>
      <c r="F15" s="53" t="n">
        <f aca="false">SUMIFS('Plan détaillé'!$G$2:$G$244,'Plan détaillé'!$A$2:$A$244,$A15,'Plan détaillé'!$E$2:$E$244,"Natation")/60</f>
        <v>2</v>
      </c>
      <c r="G15" s="53" t="n">
        <f aca="false">SUMIFS('Plan détaillé'!$G$2:$G$244,'Plan détaillé'!$A$2:$A$244,$A15,'Plan détaillé'!$E$2:$E$244,"Vélo")/60</f>
        <v>0</v>
      </c>
      <c r="H15" s="54" t="n">
        <f aca="false">SUMIFS('Plan détaillé'!$H$2:$H$244,'Plan détaillé'!$A$2:$A$244,$A15)</f>
        <v>21.2</v>
      </c>
      <c r="I15" s="55" t="n">
        <f aca="false">SUMIFS('Plan détaillé'!$I$2:$I$244,'Plan détaillé'!$A$2:$A$244,$A15)</f>
        <v>5400</v>
      </c>
      <c r="J15" s="56" t="n">
        <f aca="false">SUMIFS('Plan détaillé'!$M$2:$M$244,'Plan détaillé'!$A$2:$A$244,$A15)</f>
        <v>1649</v>
      </c>
      <c r="K15" s="56" t="n">
        <f aca="false">SUMIFS('Plan détaillé'!$Q$2:$Q$244,'Plan détaillé'!$A$2:$A$244,$A15)</f>
        <v>0</v>
      </c>
      <c r="L15" s="57" t="n">
        <f aca="false">IF(J15=0,"",IFERROR(K15/J15-1,""))</f>
        <v>-1</v>
      </c>
      <c r="M15" s="52" t="n">
        <f aca="false">COUNTIFS('Plan détaillé'!$A$2:$A$244,$A15,'Plan détaillé'!$O$2:$O$244,"x")</f>
        <v>0</v>
      </c>
      <c r="N15" s="54" t="str">
        <f aca="false">IFERROR(AVERAGEIFS('Plan détaillé'!$P$2:$P$244,'Plan détaillé'!$A$2:$A$244,$A15,'Plan détaillé'!$P$2:$P$244,"&gt;0"),"")</f>
        <v/>
      </c>
    </row>
    <row r="16" customFormat="false" ht="15" hidden="false" customHeight="true" outlineLevel="0" collapsed="false">
      <c r="A16" s="41" t="n">
        <v>14</v>
      </c>
      <c r="B16" s="41" t="s">
        <v>233</v>
      </c>
      <c r="C16" s="42" t="n">
        <f aca="false">SUMIFS('Plan détaillé'!$G$2:$G$244,'Plan détaillé'!$A$2:$A$244,$A16)/60</f>
        <v>9.53333333333333</v>
      </c>
      <c r="D16" s="42" t="n">
        <f aca="false">SUMIFS('Plan détaillé'!$G$2:$G$244,'Plan détaillé'!$A$2:$A$244,$A16,'Plan détaillé'!$E$2:$E$244,"Course à pied")/60</f>
        <v>3.7</v>
      </c>
      <c r="E16" s="42" t="n">
        <f aca="false">SUMIFS('Plan détaillé'!$G$2:$G$244,'Plan détaillé'!$A$2:$A$244,$A16,'Plan détaillé'!$E$2:$E$244,"Hyrox")/60</f>
        <v>2.25</v>
      </c>
      <c r="F16" s="42" t="n">
        <f aca="false">SUMIFS('Plan détaillé'!$G$2:$G$244,'Plan détaillé'!$A$2:$A$244,$A16,'Plan détaillé'!$E$2:$E$244,"Natation")/60</f>
        <v>2.83333333333333</v>
      </c>
      <c r="G16" s="42" t="n">
        <f aca="false">SUMIFS('Plan détaillé'!$G$2:$G$244,'Plan détaillé'!$A$2:$A$244,$A16,'Plan détaillé'!$E$2:$E$244,"Vélo")/60</f>
        <v>0.75</v>
      </c>
      <c r="H16" s="43" t="n">
        <f aca="false">SUMIFS('Plan détaillé'!$H$2:$H$244,'Plan détaillé'!$A$2:$A$244,$A16)</f>
        <v>41</v>
      </c>
      <c r="I16" s="44" t="n">
        <f aca="false">SUMIFS('Plan détaillé'!$I$2:$I$244,'Plan détaillé'!$A$2:$A$244,$A16)</f>
        <v>8000</v>
      </c>
      <c r="J16" s="14" t="n">
        <f aca="false">SUMIFS('Plan détaillé'!$M$2:$M$244,'Plan détaillé'!$A$2:$A$244,$A16)</f>
        <v>2933</v>
      </c>
      <c r="K16" s="14" t="n">
        <f aca="false">SUMIFS('Plan détaillé'!$Q$2:$Q$244,'Plan détaillé'!$A$2:$A$244,$A16)</f>
        <v>0</v>
      </c>
      <c r="L16" s="45" t="n">
        <f aca="false">IF(J16=0,"",IFERROR(K16/J16-1,""))</f>
        <v>-1</v>
      </c>
      <c r="M16" s="41" t="n">
        <f aca="false">COUNTIFS('Plan détaillé'!$A$2:$A$244,$A16,'Plan détaillé'!$O$2:$O$244,"x")</f>
        <v>0</v>
      </c>
      <c r="N16" s="43" t="str">
        <f aca="false">IFERROR(AVERAGEIFS('Plan détaillé'!$P$2:$P$244,'Plan détaillé'!$A$2:$A$244,$A16,'Plan détaillé'!$P$2:$P$244,"&gt;0"),"")</f>
        <v/>
      </c>
    </row>
    <row r="17" customFormat="false" ht="15" hidden="false" customHeight="true" outlineLevel="0" collapsed="false">
      <c r="A17" s="41" t="n">
        <v>15</v>
      </c>
      <c r="B17" s="41" t="s">
        <v>233</v>
      </c>
      <c r="C17" s="42" t="n">
        <f aca="false">SUMIFS('Plan détaillé'!$G$2:$G$244,'Plan détaillé'!$A$2:$A$244,$A17)/60</f>
        <v>11.8</v>
      </c>
      <c r="D17" s="42" t="n">
        <f aca="false">SUMIFS('Plan détaillé'!$G$2:$G$244,'Plan détaillé'!$A$2:$A$244,$A17,'Plan détaillé'!$E$2:$E$244,"Course à pied")/60</f>
        <v>6.55</v>
      </c>
      <c r="E17" s="42" t="n">
        <f aca="false">SUMIFS('Plan détaillé'!$G$2:$G$244,'Plan détaillé'!$A$2:$A$244,$A17,'Plan détaillé'!$E$2:$E$244,"Hyrox")/60</f>
        <v>2</v>
      </c>
      <c r="F17" s="42" t="n">
        <f aca="false">SUMIFS('Plan détaillé'!$G$2:$G$244,'Plan détaillé'!$A$2:$A$244,$A17,'Plan détaillé'!$E$2:$E$244,"Natation")/60</f>
        <v>3.25</v>
      </c>
      <c r="G17" s="42" t="n">
        <f aca="false">SUMIFS('Plan détaillé'!$G$2:$G$244,'Plan détaillé'!$A$2:$A$244,$A17,'Plan détaillé'!$E$2:$E$244,"Vélo")/60</f>
        <v>0</v>
      </c>
      <c r="H17" s="43" t="n">
        <f aca="false">SUMIFS('Plan détaillé'!$H$2:$H$244,'Plan détaillé'!$A$2:$A$244,$A17)</f>
        <v>56</v>
      </c>
      <c r="I17" s="44" t="n">
        <f aca="false">SUMIFS('Plan détaillé'!$I$2:$I$244,'Plan détaillé'!$A$2:$A$244,$A17)</f>
        <v>9200</v>
      </c>
      <c r="J17" s="14" t="n">
        <f aca="false">SUMIFS('Plan détaillé'!$M$2:$M$244,'Plan détaillé'!$A$2:$A$244,$A17)</f>
        <v>4389</v>
      </c>
      <c r="K17" s="14" t="n">
        <f aca="false">SUMIFS('Plan détaillé'!$Q$2:$Q$244,'Plan détaillé'!$A$2:$A$244,$A17)</f>
        <v>0</v>
      </c>
      <c r="L17" s="45" t="n">
        <f aca="false">IF(J17=0,"",IFERROR(K17/J17-1,""))</f>
        <v>-1</v>
      </c>
      <c r="M17" s="41" t="n">
        <f aca="false">COUNTIFS('Plan détaillé'!$A$2:$A$244,$A17,'Plan détaillé'!$O$2:$O$244,"x")</f>
        <v>0</v>
      </c>
      <c r="N17" s="43" t="str">
        <f aca="false">IFERROR(AVERAGEIFS('Plan détaillé'!$P$2:$P$244,'Plan détaillé'!$A$2:$A$244,$A17,'Plan détaillé'!$P$2:$P$244,"&gt;0"),"")</f>
        <v/>
      </c>
    </row>
    <row r="18" customFormat="false" ht="15" hidden="false" customHeight="true" outlineLevel="0" collapsed="false">
      <c r="A18" s="41" t="n">
        <v>16</v>
      </c>
      <c r="B18" s="41" t="s">
        <v>233</v>
      </c>
      <c r="C18" s="42" t="n">
        <f aca="false">SUMIFS('Plan détaillé'!$G$2:$G$244,'Plan détaillé'!$A$2:$A$244,$A18)/60</f>
        <v>10.5666666666667</v>
      </c>
      <c r="D18" s="42" t="n">
        <f aca="false">SUMIFS('Plan détaillé'!$G$2:$G$244,'Plan détaillé'!$A$2:$A$244,$A18,'Plan détaillé'!$E$2:$E$244,"Course à pied")/60</f>
        <v>3.98333333333333</v>
      </c>
      <c r="E18" s="42" t="n">
        <f aca="false">SUMIFS('Plan détaillé'!$G$2:$G$244,'Plan détaillé'!$A$2:$A$244,$A18,'Plan détaillé'!$E$2:$E$244,"Hyrox")/60</f>
        <v>2.25</v>
      </c>
      <c r="F18" s="42" t="n">
        <f aca="false">SUMIFS('Plan détaillé'!$G$2:$G$244,'Plan détaillé'!$A$2:$A$244,$A18,'Plan détaillé'!$E$2:$E$244,"Natation")/60</f>
        <v>3.58333333333333</v>
      </c>
      <c r="G18" s="42" t="n">
        <f aca="false">SUMIFS('Plan détaillé'!$G$2:$G$244,'Plan détaillé'!$A$2:$A$244,$A18,'Plan détaillé'!$E$2:$E$244,"Vélo")/60</f>
        <v>0.75</v>
      </c>
      <c r="H18" s="43" t="n">
        <f aca="false">SUMIFS('Plan détaillé'!$H$2:$H$244,'Plan détaillé'!$A$2:$A$244,$A18)</f>
        <v>44</v>
      </c>
      <c r="I18" s="44" t="n">
        <f aca="false">SUMIFS('Plan détaillé'!$I$2:$I$244,'Plan détaillé'!$A$2:$A$244,$A18)</f>
        <v>10200</v>
      </c>
      <c r="J18" s="14" t="n">
        <f aca="false">SUMIFS('Plan détaillé'!$M$2:$M$244,'Plan détaillé'!$A$2:$A$244,$A18)</f>
        <v>3241</v>
      </c>
      <c r="K18" s="14" t="n">
        <f aca="false">SUMIFS('Plan détaillé'!$Q$2:$Q$244,'Plan détaillé'!$A$2:$A$244,$A18)</f>
        <v>0</v>
      </c>
      <c r="L18" s="45" t="n">
        <f aca="false">IF(J18=0,"",IFERROR(K18/J18-1,""))</f>
        <v>-1</v>
      </c>
      <c r="M18" s="41" t="n">
        <f aca="false">COUNTIFS('Plan détaillé'!$A$2:$A$244,$A18,'Plan détaillé'!$O$2:$O$244,"x")</f>
        <v>0</v>
      </c>
      <c r="N18" s="43" t="str">
        <f aca="false">IFERROR(AVERAGEIFS('Plan détaillé'!$P$2:$P$244,'Plan détaillé'!$A$2:$A$244,$A18,'Plan détaillé'!$P$2:$P$244,"&gt;0"),"")</f>
        <v/>
      </c>
    </row>
    <row r="19" customFormat="false" ht="15" hidden="false" customHeight="true" outlineLevel="0" collapsed="false">
      <c r="A19" s="41" t="n">
        <v>17</v>
      </c>
      <c r="B19" s="41" t="s">
        <v>233</v>
      </c>
      <c r="C19" s="42" t="n">
        <f aca="false">SUMIFS('Plan détaillé'!$G$2:$G$244,'Plan détaillé'!$A$2:$A$244,$A19)/60</f>
        <v>10.9166666666667</v>
      </c>
      <c r="D19" s="42" t="n">
        <f aca="false">SUMIFS('Plan détaillé'!$G$2:$G$244,'Plan détaillé'!$A$2:$A$244,$A19,'Plan détaillé'!$E$2:$E$244,"Course à pied")/60</f>
        <v>4.08333333333333</v>
      </c>
      <c r="E19" s="42" t="n">
        <f aca="false">SUMIFS('Plan détaillé'!$G$2:$G$244,'Plan détaillé'!$A$2:$A$244,$A19,'Plan détaillé'!$E$2:$E$244,"Hyrox")/60</f>
        <v>2.25</v>
      </c>
      <c r="F19" s="42" t="n">
        <f aca="false">SUMIFS('Plan détaillé'!$G$2:$G$244,'Plan détaillé'!$A$2:$A$244,$A19,'Plan détaillé'!$E$2:$E$244,"Natation")/60</f>
        <v>3.83333333333333</v>
      </c>
      <c r="G19" s="42" t="n">
        <f aca="false">SUMIFS('Plan détaillé'!$G$2:$G$244,'Plan détaillé'!$A$2:$A$244,$A19,'Plan détaillé'!$E$2:$E$244,"Vélo")/60</f>
        <v>0.75</v>
      </c>
      <c r="H19" s="43" t="n">
        <f aca="false">SUMIFS('Plan détaillé'!$H$2:$H$244,'Plan détaillé'!$A$2:$A$244,$A19)</f>
        <v>45</v>
      </c>
      <c r="I19" s="44" t="n">
        <f aca="false">SUMIFS('Plan détaillé'!$I$2:$I$244,'Plan détaillé'!$A$2:$A$244,$A19)</f>
        <v>11000</v>
      </c>
      <c r="J19" s="14" t="n">
        <f aca="false">SUMIFS('Plan détaillé'!$M$2:$M$244,'Plan détaillé'!$A$2:$A$244,$A19)</f>
        <v>3336</v>
      </c>
      <c r="K19" s="14" t="n">
        <f aca="false">SUMIFS('Plan détaillé'!$Q$2:$Q$244,'Plan détaillé'!$A$2:$A$244,$A19)</f>
        <v>0</v>
      </c>
      <c r="L19" s="45" t="n">
        <f aca="false">IF(J19=0,"",IFERROR(K19/J19-1,""))</f>
        <v>-1</v>
      </c>
      <c r="M19" s="41" t="n">
        <f aca="false">COUNTIFS('Plan détaillé'!$A$2:$A$244,$A19,'Plan détaillé'!$O$2:$O$244,"x")</f>
        <v>0</v>
      </c>
      <c r="N19" s="43" t="str">
        <f aca="false">IFERROR(AVERAGEIFS('Plan détaillé'!$P$2:$P$244,'Plan détaillé'!$A$2:$A$244,$A19,'Plan détaillé'!$P$2:$P$244,"&gt;0"),"")</f>
        <v/>
      </c>
    </row>
    <row r="20" customFormat="false" ht="15" hidden="false" customHeight="true" outlineLevel="0" collapsed="false">
      <c r="A20" s="46" t="n">
        <v>18</v>
      </c>
      <c r="B20" s="46" t="s">
        <v>259</v>
      </c>
      <c r="C20" s="47" t="n">
        <f aca="false">SUMIFS('Plan détaillé'!$G$2:$G$244,'Plan détaillé'!$A$2:$A$244,$A20)/60</f>
        <v>9.76666666666667</v>
      </c>
      <c r="D20" s="47" t="n">
        <f aca="false">SUMIFS('Plan détaillé'!$G$2:$G$244,'Plan détaillé'!$A$2:$A$244,$A20,'Plan détaillé'!$E$2:$E$244,"Course à pied")/60</f>
        <v>3.51666666666667</v>
      </c>
      <c r="E20" s="47" t="n">
        <f aca="false">SUMIFS('Plan détaillé'!$G$2:$G$244,'Plan détaillé'!$A$2:$A$244,$A20,'Plan détaillé'!$E$2:$E$244,"Hyrox")/60</f>
        <v>2.25</v>
      </c>
      <c r="F20" s="47" t="n">
        <f aca="false">SUMIFS('Plan détaillé'!$G$2:$G$244,'Plan détaillé'!$A$2:$A$244,$A20,'Plan détaillé'!$E$2:$E$244,"Natation")/60</f>
        <v>3.25</v>
      </c>
      <c r="G20" s="47" t="n">
        <f aca="false">SUMIFS('Plan détaillé'!$G$2:$G$244,'Plan détaillé'!$A$2:$A$244,$A20,'Plan détaillé'!$E$2:$E$244,"Vélo")/60</f>
        <v>0.75</v>
      </c>
      <c r="H20" s="48" t="n">
        <f aca="false">SUMIFS('Plan détaillé'!$H$2:$H$244,'Plan détaillé'!$A$2:$A$244,$A20)</f>
        <v>39</v>
      </c>
      <c r="I20" s="49" t="n">
        <f aca="false">SUMIFS('Plan détaillé'!$I$2:$I$244,'Plan détaillé'!$A$2:$A$244,$A20)</f>
        <v>9000</v>
      </c>
      <c r="J20" s="50" t="n">
        <f aca="false">SUMIFS('Plan détaillé'!$M$2:$M$244,'Plan détaillé'!$A$2:$A$244,$A20)</f>
        <v>2825</v>
      </c>
      <c r="K20" s="50" t="n">
        <f aca="false">SUMIFS('Plan détaillé'!$Q$2:$Q$244,'Plan détaillé'!$A$2:$A$244,$A20)</f>
        <v>0</v>
      </c>
      <c r="L20" s="51" t="n">
        <f aca="false">IF(J20=0,"",IFERROR(K20/J20-1,""))</f>
        <v>-1</v>
      </c>
      <c r="M20" s="46" t="n">
        <f aca="false">COUNTIFS('Plan détaillé'!$A$2:$A$244,$A20,'Plan détaillé'!$O$2:$O$244,"x")</f>
        <v>0</v>
      </c>
      <c r="N20" s="48" t="str">
        <f aca="false">IFERROR(AVERAGEIFS('Plan détaillé'!$P$2:$P$244,'Plan détaillé'!$A$2:$A$244,$A20,'Plan détaillé'!$P$2:$P$244,"&gt;0"),"")</f>
        <v/>
      </c>
    </row>
    <row r="21" customFormat="false" ht="15" hidden="false" customHeight="true" outlineLevel="0" collapsed="false">
      <c r="A21" s="41" t="n">
        <v>19</v>
      </c>
      <c r="B21" s="41" t="s">
        <v>233</v>
      </c>
      <c r="C21" s="42" t="n">
        <f aca="false">SUMIFS('Plan détaillé'!$G$2:$G$244,'Plan détaillé'!$A$2:$A$244,$A21)/60</f>
        <v>10.35</v>
      </c>
      <c r="D21" s="42" t="n">
        <f aca="false">SUMIFS('Plan détaillé'!$G$2:$G$244,'Plan détaillé'!$A$2:$A$244,$A21,'Plan détaillé'!$E$2:$E$244,"Course à pied")/60</f>
        <v>4.18333333333333</v>
      </c>
      <c r="E21" s="42" t="n">
        <f aca="false">SUMIFS('Plan détaillé'!$G$2:$G$244,'Plan détaillé'!$A$2:$A$244,$A21,'Plan détaillé'!$E$2:$E$244,"Hyrox")/60</f>
        <v>2.25</v>
      </c>
      <c r="F21" s="42" t="n">
        <f aca="false">SUMIFS('Plan détaillé'!$G$2:$G$244,'Plan détaillé'!$A$2:$A$244,$A21,'Plan détaillé'!$E$2:$E$244,"Natation")/60</f>
        <v>3.16666666666667</v>
      </c>
      <c r="G21" s="42" t="n">
        <f aca="false">SUMIFS('Plan détaillé'!$G$2:$G$244,'Plan détaillé'!$A$2:$A$244,$A21,'Plan détaillé'!$E$2:$E$244,"Vélo")/60</f>
        <v>0.75</v>
      </c>
      <c r="H21" s="43" t="n">
        <f aca="false">SUMIFS('Plan détaillé'!$H$2:$H$244,'Plan détaillé'!$A$2:$A$244,$A21)</f>
        <v>46</v>
      </c>
      <c r="I21" s="44" t="n">
        <f aca="false">SUMIFS('Plan détaillé'!$I$2:$I$244,'Plan détaillé'!$A$2:$A$244,$A21)</f>
        <v>8800</v>
      </c>
      <c r="J21" s="14" t="n">
        <f aca="false">SUMIFS('Plan détaillé'!$M$2:$M$244,'Plan détaillé'!$A$2:$A$244,$A21)</f>
        <v>3204</v>
      </c>
      <c r="K21" s="14" t="n">
        <f aca="false">SUMIFS('Plan détaillé'!$Q$2:$Q$244,'Plan détaillé'!$A$2:$A$244,$A21)</f>
        <v>0</v>
      </c>
      <c r="L21" s="45" t="n">
        <f aca="false">IF(J21=0,"",IFERROR(K21/J21-1,""))</f>
        <v>-1</v>
      </c>
      <c r="M21" s="41" t="n">
        <f aca="false">COUNTIFS('Plan détaillé'!$A$2:$A$244,$A21,'Plan détaillé'!$O$2:$O$244,"x")</f>
        <v>0</v>
      </c>
      <c r="N21" s="43" t="str">
        <f aca="false">IFERROR(AVERAGEIFS('Plan détaillé'!$P$2:$P$244,'Plan détaillé'!$A$2:$A$244,$A21,'Plan détaillé'!$P$2:$P$244,"&gt;0"),"")</f>
        <v/>
      </c>
    </row>
    <row r="22" customFormat="false" ht="15" hidden="false" customHeight="true" outlineLevel="0" collapsed="false">
      <c r="A22" s="41" t="n">
        <v>20</v>
      </c>
      <c r="B22" s="41" t="s">
        <v>233</v>
      </c>
      <c r="C22" s="42" t="n">
        <f aca="false">SUMIFS('Plan détaillé'!$G$2:$G$244,'Plan détaillé'!$A$2:$A$244,$A22)/60</f>
        <v>10.45</v>
      </c>
      <c r="D22" s="42" t="n">
        <f aca="false">SUMIFS('Plan détaillé'!$G$2:$G$244,'Plan détaillé'!$A$2:$A$244,$A22,'Plan détaillé'!$E$2:$E$244,"Course à pied")/60</f>
        <v>4.28333333333333</v>
      </c>
      <c r="E22" s="42" t="n">
        <f aca="false">SUMIFS('Plan détaillé'!$G$2:$G$244,'Plan détaillé'!$A$2:$A$244,$A22,'Plan détaillé'!$E$2:$E$244,"Hyrox")/60</f>
        <v>2.25</v>
      </c>
      <c r="F22" s="42" t="n">
        <f aca="false">SUMIFS('Plan détaillé'!$G$2:$G$244,'Plan détaillé'!$A$2:$A$244,$A22,'Plan détaillé'!$E$2:$E$244,"Natation")/60</f>
        <v>3.16666666666667</v>
      </c>
      <c r="G22" s="42" t="n">
        <f aca="false">SUMIFS('Plan détaillé'!$G$2:$G$244,'Plan détaillé'!$A$2:$A$244,$A22,'Plan détaillé'!$E$2:$E$244,"Vélo")/60</f>
        <v>0.75</v>
      </c>
      <c r="H22" s="43" t="n">
        <f aca="false">SUMIFS('Plan détaillé'!$H$2:$H$244,'Plan détaillé'!$A$2:$A$244,$A22)</f>
        <v>47</v>
      </c>
      <c r="I22" s="44" t="n">
        <f aca="false">SUMIFS('Plan détaillé'!$I$2:$I$244,'Plan détaillé'!$A$2:$A$244,$A22)</f>
        <v>8800</v>
      </c>
      <c r="J22" s="14" t="n">
        <f aca="false">SUMIFS('Plan détaillé'!$M$2:$M$244,'Plan détaillé'!$A$2:$A$244,$A22)</f>
        <v>3319</v>
      </c>
      <c r="K22" s="14" t="n">
        <f aca="false">SUMIFS('Plan détaillé'!$Q$2:$Q$244,'Plan détaillé'!$A$2:$A$244,$A22)</f>
        <v>0</v>
      </c>
      <c r="L22" s="45" t="n">
        <f aca="false">IF(J22=0,"",IFERROR(K22/J22-1,""))</f>
        <v>-1</v>
      </c>
      <c r="M22" s="41" t="n">
        <f aca="false">COUNTIFS('Plan détaillé'!$A$2:$A$244,$A22,'Plan détaillé'!$O$2:$O$244,"x")</f>
        <v>0</v>
      </c>
      <c r="N22" s="43" t="str">
        <f aca="false">IFERROR(AVERAGEIFS('Plan détaillé'!$P$2:$P$244,'Plan détaillé'!$A$2:$A$244,$A22,'Plan détaillé'!$P$2:$P$244,"&gt;0"),"")</f>
        <v/>
      </c>
    </row>
    <row r="23" customFormat="false" ht="15" hidden="false" customHeight="true" outlineLevel="0" collapsed="false">
      <c r="A23" s="41" t="n">
        <v>21</v>
      </c>
      <c r="B23" s="41" t="s">
        <v>233</v>
      </c>
      <c r="C23" s="42" t="n">
        <f aca="false">SUMIFS('Plan détaillé'!$G$2:$G$244,'Plan détaillé'!$A$2:$A$244,$A23)/60</f>
        <v>9.95</v>
      </c>
      <c r="D23" s="42" t="n">
        <f aca="false">SUMIFS('Plan détaillé'!$G$2:$G$244,'Plan détaillé'!$A$2:$A$244,$A23,'Plan détaillé'!$E$2:$E$244,"Course à pied")/60</f>
        <v>4.28333333333333</v>
      </c>
      <c r="E23" s="42" t="n">
        <f aca="false">SUMIFS('Plan détaillé'!$G$2:$G$244,'Plan détaillé'!$A$2:$A$244,$A23,'Plan détaillé'!$E$2:$E$244,"Hyrox")/60</f>
        <v>2.25</v>
      </c>
      <c r="F23" s="42" t="n">
        <f aca="false">SUMIFS('Plan détaillé'!$G$2:$G$244,'Plan détaillé'!$A$2:$A$244,$A23,'Plan détaillé'!$E$2:$E$244,"Natation")/60</f>
        <v>2.66666666666667</v>
      </c>
      <c r="G23" s="42" t="n">
        <f aca="false">SUMIFS('Plan détaillé'!$G$2:$G$244,'Plan détaillé'!$A$2:$A$244,$A23,'Plan détaillé'!$E$2:$E$244,"Vélo")/60</f>
        <v>0.75</v>
      </c>
      <c r="H23" s="43" t="n">
        <f aca="false">SUMIFS('Plan détaillé'!$H$2:$H$244,'Plan détaillé'!$A$2:$A$244,$A23)</f>
        <v>47</v>
      </c>
      <c r="I23" s="44" t="n">
        <f aca="false">SUMIFS('Plan détaillé'!$I$2:$I$244,'Plan détaillé'!$A$2:$A$244,$A23)</f>
        <v>7400</v>
      </c>
      <c r="J23" s="14" t="n">
        <f aca="false">SUMIFS('Plan détaillé'!$M$2:$M$244,'Plan détaillé'!$A$2:$A$244,$A23)</f>
        <v>3099</v>
      </c>
      <c r="K23" s="14" t="n">
        <f aca="false">SUMIFS('Plan détaillé'!$Q$2:$Q$244,'Plan détaillé'!$A$2:$A$244,$A23)</f>
        <v>0</v>
      </c>
      <c r="L23" s="45" t="n">
        <f aca="false">IF(J23=0,"",IFERROR(K23/J23-1,""))</f>
        <v>-1</v>
      </c>
      <c r="M23" s="41" t="n">
        <f aca="false">COUNTIFS('Plan détaillé'!$A$2:$A$244,$A23,'Plan détaillé'!$O$2:$O$244,"x")</f>
        <v>0</v>
      </c>
      <c r="N23" s="43" t="str">
        <f aca="false">IFERROR(AVERAGEIFS('Plan détaillé'!$P$2:$P$244,'Plan détaillé'!$A$2:$A$244,$A23,'Plan détaillé'!$P$2:$P$244,"&gt;0"),"")</f>
        <v/>
      </c>
    </row>
    <row r="24" customFormat="false" ht="15" hidden="false" customHeight="true" outlineLevel="0" collapsed="false">
      <c r="A24" s="41" t="n">
        <v>22</v>
      </c>
      <c r="B24" s="41" t="s">
        <v>233</v>
      </c>
      <c r="C24" s="42" t="n">
        <f aca="false">SUMIFS('Plan détaillé'!$G$2:$G$244,'Plan détaillé'!$A$2:$A$244,$A24)/60</f>
        <v>9.86666666666667</v>
      </c>
      <c r="D24" s="42" t="n">
        <f aca="false">SUMIFS('Plan détaillé'!$G$2:$G$244,'Plan détaillé'!$A$2:$A$244,$A24,'Plan détaillé'!$E$2:$E$244,"Course à pied")/60</f>
        <v>3.7</v>
      </c>
      <c r="E24" s="42" t="n">
        <f aca="false">SUMIFS('Plan détaillé'!$G$2:$G$244,'Plan détaillé'!$A$2:$A$244,$A24,'Plan détaillé'!$E$2:$E$244,"Hyrox")/60</f>
        <v>2.25</v>
      </c>
      <c r="F24" s="42" t="n">
        <f aca="false">SUMIFS('Plan détaillé'!$G$2:$G$244,'Plan détaillé'!$A$2:$A$244,$A24,'Plan détaillé'!$E$2:$E$244,"Natation")/60</f>
        <v>3.16666666666667</v>
      </c>
      <c r="G24" s="42" t="n">
        <f aca="false">SUMIFS('Plan détaillé'!$G$2:$G$244,'Plan détaillé'!$A$2:$A$244,$A24,'Plan détaillé'!$E$2:$E$244,"Vélo")/60</f>
        <v>0.75</v>
      </c>
      <c r="H24" s="43" t="n">
        <f aca="false">SUMIFS('Plan détaillé'!$H$2:$H$244,'Plan détaillé'!$A$2:$A$244,$A24)</f>
        <v>41</v>
      </c>
      <c r="I24" s="44" t="n">
        <f aca="false">SUMIFS('Plan détaillé'!$I$2:$I$244,'Plan détaillé'!$A$2:$A$244,$A24)</f>
        <v>8800</v>
      </c>
      <c r="J24" s="14" t="n">
        <f aca="false">SUMIFS('Plan détaillé'!$M$2:$M$244,'Plan détaillé'!$A$2:$A$244,$A24)</f>
        <v>3096</v>
      </c>
      <c r="K24" s="14" t="n">
        <f aca="false">SUMIFS('Plan détaillé'!$Q$2:$Q$244,'Plan détaillé'!$A$2:$A$244,$A24)</f>
        <v>0</v>
      </c>
      <c r="L24" s="45" t="n">
        <f aca="false">IF(J24=0,"",IFERROR(K24/J24-1,""))</f>
        <v>-1</v>
      </c>
      <c r="M24" s="41" t="n">
        <f aca="false">COUNTIFS('Plan détaillé'!$A$2:$A$244,$A24,'Plan détaillé'!$O$2:$O$244,"x")</f>
        <v>0</v>
      </c>
      <c r="N24" s="43" t="str">
        <f aca="false">IFERROR(AVERAGEIFS('Plan détaillé'!$P$2:$P$244,'Plan détaillé'!$A$2:$A$244,$A24,'Plan détaillé'!$P$2:$P$244,"&gt;0"),"")</f>
        <v/>
      </c>
    </row>
    <row r="25" customFormat="false" ht="15" hidden="false" customHeight="true" outlineLevel="0" collapsed="false">
      <c r="A25" s="41" t="n">
        <v>23</v>
      </c>
      <c r="B25" s="41" t="s">
        <v>233</v>
      </c>
      <c r="C25" s="42" t="n">
        <f aca="false">SUMIFS('Plan détaillé'!$G$2:$G$244,'Plan détaillé'!$A$2:$A$244,$A25)/60</f>
        <v>10.35</v>
      </c>
      <c r="D25" s="42" t="n">
        <f aca="false">SUMIFS('Plan détaillé'!$G$2:$G$244,'Plan détaillé'!$A$2:$A$244,$A25,'Plan détaillé'!$E$2:$E$244,"Course à pied")/60</f>
        <v>4.18333333333333</v>
      </c>
      <c r="E25" s="42" t="n">
        <f aca="false">SUMIFS('Plan détaillé'!$G$2:$G$244,'Plan détaillé'!$A$2:$A$244,$A25,'Plan détaillé'!$E$2:$E$244,"Hyrox")/60</f>
        <v>2.25</v>
      </c>
      <c r="F25" s="42" t="n">
        <f aca="false">SUMIFS('Plan détaillé'!$G$2:$G$244,'Plan détaillé'!$A$2:$A$244,$A25,'Plan détaillé'!$E$2:$E$244,"Natation")/60</f>
        <v>3.16666666666667</v>
      </c>
      <c r="G25" s="42" t="n">
        <f aca="false">SUMIFS('Plan détaillé'!$G$2:$G$244,'Plan détaillé'!$A$2:$A$244,$A25,'Plan détaillé'!$E$2:$E$244,"Vélo")/60</f>
        <v>0.75</v>
      </c>
      <c r="H25" s="43" t="n">
        <f aca="false">SUMIFS('Plan détaillé'!$H$2:$H$244,'Plan détaillé'!$A$2:$A$244,$A25)</f>
        <v>46</v>
      </c>
      <c r="I25" s="44" t="n">
        <f aca="false">SUMIFS('Plan détaillé'!$I$2:$I$244,'Plan détaillé'!$A$2:$A$244,$A25)</f>
        <v>8800</v>
      </c>
      <c r="J25" s="14" t="n">
        <f aca="false">SUMIFS('Plan détaillé'!$M$2:$M$244,'Plan détaillé'!$A$2:$A$244,$A25)</f>
        <v>3186</v>
      </c>
      <c r="K25" s="14" t="n">
        <f aca="false">SUMIFS('Plan détaillé'!$Q$2:$Q$244,'Plan détaillé'!$A$2:$A$244,$A25)</f>
        <v>0</v>
      </c>
      <c r="L25" s="45" t="n">
        <f aca="false">IF(J25=0,"",IFERROR(K25/J25-1,""))</f>
        <v>-1</v>
      </c>
      <c r="M25" s="41" t="n">
        <f aca="false">COUNTIFS('Plan détaillé'!$A$2:$A$244,$A25,'Plan détaillé'!$O$2:$O$244,"x")</f>
        <v>0</v>
      </c>
      <c r="N25" s="43" t="str">
        <f aca="false">IFERROR(AVERAGEIFS('Plan détaillé'!$P$2:$P$244,'Plan détaillé'!$A$2:$A$244,$A25,'Plan détaillé'!$P$2:$P$244,"&gt;0"),"")</f>
        <v/>
      </c>
    </row>
    <row r="26" customFormat="false" ht="15" hidden="false" customHeight="true" outlineLevel="0" collapsed="false">
      <c r="A26" s="52" t="n">
        <v>24</v>
      </c>
      <c r="B26" s="52" t="s">
        <v>279</v>
      </c>
      <c r="C26" s="53" t="n">
        <f aca="false">SUMIFS('Plan détaillé'!$G$2:$G$244,'Plan détaillé'!$A$2:$A$244,$A26)/60</f>
        <v>5.18333333333333</v>
      </c>
      <c r="D26" s="53" t="n">
        <f aca="false">SUMIFS('Plan détaillé'!$G$2:$G$244,'Plan détaillé'!$A$2:$A$244,$A26,'Plan détaillé'!$E$2:$E$244,"Course à pied")/60</f>
        <v>1.68333333333333</v>
      </c>
      <c r="E26" s="53" t="n">
        <f aca="false">SUMIFS('Plan détaillé'!$G$2:$G$244,'Plan détaillé'!$A$2:$A$244,$A26,'Plan détaillé'!$E$2:$E$244,"Hyrox")/60</f>
        <v>0.833333333333333</v>
      </c>
      <c r="F26" s="53" t="n">
        <f aca="false">SUMIFS('Plan détaillé'!$G$2:$G$244,'Plan détaillé'!$A$2:$A$244,$A26,'Plan détaillé'!$E$2:$E$244,"Natation")/60</f>
        <v>2.66666666666667</v>
      </c>
      <c r="G26" s="53" t="n">
        <f aca="false">SUMIFS('Plan détaillé'!$G$2:$G$244,'Plan détaillé'!$A$2:$A$244,$A26,'Plan détaillé'!$E$2:$E$244,"Vélo")/60</f>
        <v>0</v>
      </c>
      <c r="H26" s="54" t="n">
        <f aca="false">SUMIFS('Plan détaillé'!$H$2:$H$244,'Plan détaillé'!$A$2:$A$244,$A26)</f>
        <v>21</v>
      </c>
      <c r="I26" s="55" t="n">
        <f aca="false">SUMIFS('Plan détaillé'!$I$2:$I$244,'Plan détaillé'!$A$2:$A$244,$A26)</f>
        <v>7400</v>
      </c>
      <c r="J26" s="56" t="n">
        <f aca="false">SUMIFS('Plan détaillé'!$M$2:$M$244,'Plan détaillé'!$A$2:$A$244,$A26)</f>
        <v>1738</v>
      </c>
      <c r="K26" s="56" t="n">
        <f aca="false">SUMIFS('Plan détaillé'!$Q$2:$Q$244,'Plan détaillé'!$A$2:$A$244,$A26)</f>
        <v>0</v>
      </c>
      <c r="L26" s="57" t="n">
        <f aca="false">IF(J26=0,"",IFERROR(K26/J26-1,""))</f>
        <v>-1</v>
      </c>
      <c r="M26" s="52" t="n">
        <f aca="false">COUNTIFS('Plan détaillé'!$A$2:$A$244,$A26,'Plan détaillé'!$O$2:$O$244,"x")</f>
        <v>0</v>
      </c>
      <c r="N26" s="54" t="str">
        <f aca="false">IFERROR(AVERAGEIFS('Plan détaillé'!$P$2:$P$244,'Plan détaillé'!$A$2:$A$244,$A26,'Plan détaillé'!$P$2:$P$244,"&gt;0"),"")</f>
        <v/>
      </c>
    </row>
    <row r="27" customFormat="false" ht="15" hidden="false" customHeight="true" outlineLevel="0" collapsed="false">
      <c r="A27" s="41" t="n">
        <v>25</v>
      </c>
      <c r="B27" s="41" t="s">
        <v>285</v>
      </c>
      <c r="C27" s="42" t="n">
        <f aca="false">SUMIFS('Plan détaillé'!$G$2:$G$244,'Plan détaillé'!$A$2:$A$244,$A27)/60</f>
        <v>10.15</v>
      </c>
      <c r="D27" s="42" t="n">
        <f aca="false">SUMIFS('Plan détaillé'!$G$2:$G$244,'Plan détaillé'!$A$2:$A$244,$A27,'Plan détaillé'!$E$2:$E$244,"Course à pied")/60</f>
        <v>3.98333333333333</v>
      </c>
      <c r="E27" s="42" t="n">
        <f aca="false">SUMIFS('Plan détaillé'!$G$2:$G$244,'Plan détaillé'!$A$2:$A$244,$A27,'Plan détaillé'!$E$2:$E$244,"Hyrox")/60</f>
        <v>2.25</v>
      </c>
      <c r="F27" s="42" t="n">
        <f aca="false">SUMIFS('Plan détaillé'!$G$2:$G$244,'Plan détaillé'!$A$2:$A$244,$A27,'Plan détaillé'!$E$2:$E$244,"Natation")/60</f>
        <v>3.16666666666667</v>
      </c>
      <c r="G27" s="42" t="n">
        <f aca="false">SUMIFS('Plan détaillé'!$G$2:$G$244,'Plan détaillé'!$A$2:$A$244,$A27,'Plan détaillé'!$E$2:$E$244,"Vélo")/60</f>
        <v>0.75</v>
      </c>
      <c r="H27" s="43" t="n">
        <f aca="false">SUMIFS('Plan détaillé'!$H$2:$H$244,'Plan détaillé'!$A$2:$A$244,$A27)</f>
        <v>44</v>
      </c>
      <c r="I27" s="44" t="n">
        <f aca="false">SUMIFS('Plan détaillé'!$I$2:$I$244,'Plan détaillé'!$A$2:$A$244,$A27)</f>
        <v>8800</v>
      </c>
      <c r="J27" s="14" t="n">
        <f aca="false">SUMIFS('Plan détaillé'!$M$2:$M$244,'Plan détaillé'!$A$2:$A$244,$A27)</f>
        <v>3126</v>
      </c>
      <c r="K27" s="14" t="n">
        <f aca="false">SUMIFS('Plan détaillé'!$Q$2:$Q$244,'Plan détaillé'!$A$2:$A$244,$A27)</f>
        <v>0</v>
      </c>
      <c r="L27" s="45" t="n">
        <f aca="false">IF(J27=0,"",IFERROR(K27/J27-1,""))</f>
        <v>-1</v>
      </c>
      <c r="M27" s="41" t="n">
        <f aca="false">COUNTIFS('Plan détaillé'!$A$2:$A$244,$A27,'Plan détaillé'!$O$2:$O$244,"x")</f>
        <v>0</v>
      </c>
      <c r="N27" s="43" t="str">
        <f aca="false">IFERROR(AVERAGEIFS('Plan détaillé'!$P$2:$P$244,'Plan détaillé'!$A$2:$A$244,$A27,'Plan détaillé'!$P$2:$P$244,"&gt;0"),"")</f>
        <v/>
      </c>
    </row>
    <row r="28" customFormat="false" ht="15" hidden="false" customHeight="true" outlineLevel="0" collapsed="false">
      <c r="A28" s="41" t="n">
        <v>26</v>
      </c>
      <c r="B28" s="41" t="s">
        <v>285</v>
      </c>
      <c r="C28" s="42" t="n">
        <f aca="false">SUMIFS('Plan détaillé'!$G$2:$G$244,'Plan détaillé'!$A$2:$A$244,$A28)/60</f>
        <v>10.25</v>
      </c>
      <c r="D28" s="42" t="n">
        <f aca="false">SUMIFS('Plan détaillé'!$G$2:$G$244,'Plan détaillé'!$A$2:$A$244,$A28,'Plan détaillé'!$E$2:$E$244,"Course à pied")/60</f>
        <v>4.08333333333333</v>
      </c>
      <c r="E28" s="42" t="n">
        <f aca="false">SUMIFS('Plan détaillé'!$G$2:$G$244,'Plan détaillé'!$A$2:$A$244,$A28,'Plan détaillé'!$E$2:$E$244,"Hyrox")/60</f>
        <v>2.25</v>
      </c>
      <c r="F28" s="42" t="n">
        <f aca="false">SUMIFS('Plan détaillé'!$G$2:$G$244,'Plan détaillé'!$A$2:$A$244,$A28,'Plan détaillé'!$E$2:$E$244,"Natation")/60</f>
        <v>3.16666666666667</v>
      </c>
      <c r="G28" s="42" t="n">
        <f aca="false">SUMIFS('Plan détaillé'!$G$2:$G$244,'Plan détaillé'!$A$2:$A$244,$A28,'Plan détaillé'!$E$2:$E$244,"Vélo")/60</f>
        <v>0.75</v>
      </c>
      <c r="H28" s="43" t="n">
        <f aca="false">SUMIFS('Plan détaillé'!$H$2:$H$244,'Plan détaillé'!$A$2:$A$244,$A28)</f>
        <v>45</v>
      </c>
      <c r="I28" s="44" t="n">
        <f aca="false">SUMIFS('Plan détaillé'!$I$2:$I$244,'Plan détaillé'!$A$2:$A$244,$A28)</f>
        <v>8800</v>
      </c>
      <c r="J28" s="14" t="n">
        <f aca="false">SUMIFS('Plan détaillé'!$M$2:$M$244,'Plan détaillé'!$A$2:$A$244,$A28)</f>
        <v>3156</v>
      </c>
      <c r="K28" s="14" t="n">
        <f aca="false">SUMIFS('Plan détaillé'!$Q$2:$Q$244,'Plan détaillé'!$A$2:$A$244,$A28)</f>
        <v>0</v>
      </c>
      <c r="L28" s="45" t="n">
        <f aca="false">IF(J28=0,"",IFERROR(K28/J28-1,""))</f>
        <v>-1</v>
      </c>
      <c r="M28" s="41" t="n">
        <f aca="false">COUNTIFS('Plan détaillé'!$A$2:$A$244,$A28,'Plan détaillé'!$O$2:$O$244,"x")</f>
        <v>0</v>
      </c>
      <c r="N28" s="43" t="str">
        <f aca="false">IFERROR(AVERAGEIFS('Plan détaillé'!$P$2:$P$244,'Plan détaillé'!$A$2:$A$244,$A28,'Plan détaillé'!$P$2:$P$244,"&gt;0"),"")</f>
        <v/>
      </c>
    </row>
    <row r="29" customFormat="false" ht="15" hidden="false" customHeight="true" outlineLevel="0" collapsed="false">
      <c r="A29" s="41" t="n">
        <v>27</v>
      </c>
      <c r="B29" s="41" t="s">
        <v>285</v>
      </c>
      <c r="C29" s="42" t="n">
        <f aca="false">SUMIFS('Plan détaillé'!$G$2:$G$244,'Plan détaillé'!$A$2:$A$244,$A29)/60</f>
        <v>9.45</v>
      </c>
      <c r="D29" s="42" t="n">
        <f aca="false">SUMIFS('Plan détaillé'!$G$2:$G$244,'Plan détaillé'!$A$2:$A$244,$A29,'Plan détaillé'!$E$2:$E$244,"Course à pied")/60</f>
        <v>3.78333333333333</v>
      </c>
      <c r="E29" s="42" t="n">
        <f aca="false">SUMIFS('Plan détaillé'!$G$2:$G$244,'Plan détaillé'!$A$2:$A$244,$A29,'Plan détaillé'!$E$2:$E$244,"Hyrox")/60</f>
        <v>2.25</v>
      </c>
      <c r="F29" s="42" t="n">
        <f aca="false">SUMIFS('Plan détaillé'!$G$2:$G$244,'Plan détaillé'!$A$2:$A$244,$A29,'Plan détaillé'!$E$2:$E$244,"Natation")/60</f>
        <v>2.66666666666667</v>
      </c>
      <c r="G29" s="42" t="n">
        <f aca="false">SUMIFS('Plan détaillé'!$G$2:$G$244,'Plan détaillé'!$A$2:$A$244,$A29,'Plan détaillé'!$E$2:$E$244,"Vélo")/60</f>
        <v>0.75</v>
      </c>
      <c r="H29" s="43" t="n">
        <f aca="false">SUMIFS('Plan détaillé'!$H$2:$H$244,'Plan détaillé'!$A$2:$A$244,$A29)</f>
        <v>42</v>
      </c>
      <c r="I29" s="44" t="n">
        <f aca="false">SUMIFS('Plan détaillé'!$I$2:$I$244,'Plan détaillé'!$A$2:$A$244,$A29)</f>
        <v>7400</v>
      </c>
      <c r="J29" s="14" t="n">
        <f aca="false">SUMIFS('Plan détaillé'!$M$2:$M$244,'Plan détaillé'!$A$2:$A$244,$A29)</f>
        <v>2913</v>
      </c>
      <c r="K29" s="14" t="n">
        <f aca="false">SUMIFS('Plan détaillé'!$Q$2:$Q$244,'Plan détaillé'!$A$2:$A$244,$A29)</f>
        <v>0</v>
      </c>
      <c r="L29" s="45" t="n">
        <f aca="false">IF(J29=0,"",IFERROR(K29/J29-1,""))</f>
        <v>-1</v>
      </c>
      <c r="M29" s="41" t="n">
        <f aca="false">COUNTIFS('Plan détaillé'!$A$2:$A$244,$A29,'Plan détaillé'!$O$2:$O$244,"x")</f>
        <v>0</v>
      </c>
      <c r="N29" s="43" t="str">
        <f aca="false">IFERROR(AVERAGEIFS('Plan détaillé'!$P$2:$P$244,'Plan détaillé'!$A$2:$A$244,$A29,'Plan détaillé'!$P$2:$P$244,"&gt;0"),"")</f>
        <v/>
      </c>
    </row>
    <row r="30" customFormat="false" ht="15" hidden="false" customHeight="true" outlineLevel="0" collapsed="false">
      <c r="A30" s="46" t="n">
        <v>28</v>
      </c>
      <c r="B30" s="46" t="s">
        <v>293</v>
      </c>
      <c r="C30" s="47" t="n">
        <f aca="false">SUMIFS('Plan détaillé'!$G$2:$G$244,'Plan détaillé'!$A$2:$A$244,$A30)/60</f>
        <v>9.58333333333333</v>
      </c>
      <c r="D30" s="47" t="n">
        <f aca="false">SUMIFS('Plan détaillé'!$G$2:$G$244,'Plan détaillé'!$A$2:$A$244,$A30,'Plan détaillé'!$E$2:$E$244,"Course à pied")/60</f>
        <v>3.41666666666667</v>
      </c>
      <c r="E30" s="47" t="n">
        <f aca="false">SUMIFS('Plan détaillé'!$G$2:$G$244,'Plan détaillé'!$A$2:$A$244,$A30,'Plan détaillé'!$E$2:$E$244,"Hyrox")/60</f>
        <v>2.25</v>
      </c>
      <c r="F30" s="47" t="n">
        <f aca="false">SUMIFS('Plan détaillé'!$G$2:$G$244,'Plan détaillé'!$A$2:$A$244,$A30,'Plan détaillé'!$E$2:$E$244,"Natation")/60</f>
        <v>3.16666666666667</v>
      </c>
      <c r="G30" s="47" t="n">
        <f aca="false">SUMIFS('Plan détaillé'!$G$2:$G$244,'Plan détaillé'!$A$2:$A$244,$A30,'Plan détaillé'!$E$2:$E$244,"Vélo")/60</f>
        <v>0.75</v>
      </c>
      <c r="H30" s="48" t="n">
        <f aca="false">SUMIFS('Plan détaillé'!$H$2:$H$244,'Plan détaillé'!$A$2:$A$244,$A30)</f>
        <v>38</v>
      </c>
      <c r="I30" s="49" t="n">
        <f aca="false">SUMIFS('Plan détaillé'!$I$2:$I$244,'Plan détaillé'!$A$2:$A$244,$A30)</f>
        <v>8800</v>
      </c>
      <c r="J30" s="50" t="n">
        <f aca="false">SUMIFS('Plan détaillé'!$M$2:$M$244,'Plan détaillé'!$A$2:$A$244,$A30)</f>
        <v>2855</v>
      </c>
      <c r="K30" s="50" t="n">
        <f aca="false">SUMIFS('Plan détaillé'!$Q$2:$Q$244,'Plan détaillé'!$A$2:$A$244,$A30)</f>
        <v>0</v>
      </c>
      <c r="L30" s="51" t="n">
        <f aca="false">IF(J30=0,"",IFERROR(K30/J30-1,""))</f>
        <v>-1</v>
      </c>
      <c r="M30" s="46" t="n">
        <f aca="false">COUNTIFS('Plan détaillé'!$A$2:$A$244,$A30,'Plan détaillé'!$O$2:$O$244,"x")</f>
        <v>0</v>
      </c>
      <c r="N30" s="48" t="str">
        <f aca="false">IFERROR(AVERAGEIFS('Plan détaillé'!$P$2:$P$244,'Plan détaillé'!$A$2:$A$244,$A30,'Plan détaillé'!$P$2:$P$244,"&gt;0"),"")</f>
        <v/>
      </c>
    </row>
    <row r="31" customFormat="false" ht="15" hidden="false" customHeight="true" outlineLevel="0" collapsed="false">
      <c r="A31" s="52" t="n">
        <v>29</v>
      </c>
      <c r="B31" s="52" t="s">
        <v>297</v>
      </c>
      <c r="C31" s="53" t="n">
        <f aca="false">SUMIFS('Plan détaillé'!$G$2:$G$244,'Plan détaillé'!$A$2:$A$244,$A31)/60</f>
        <v>5.56666666666667</v>
      </c>
      <c r="D31" s="53" t="n">
        <f aca="false">SUMIFS('Plan détaillé'!$G$2:$G$244,'Plan détaillé'!$A$2:$A$244,$A31,'Plan détaillé'!$E$2:$E$244,"Course à pied")/60</f>
        <v>1.56666666666667</v>
      </c>
      <c r="E31" s="53" t="n">
        <f aca="false">SUMIFS('Plan détaillé'!$G$2:$G$244,'Plan détaillé'!$A$2:$A$244,$A31,'Plan détaillé'!$E$2:$E$244,"Hyrox")/60</f>
        <v>0.833333333333333</v>
      </c>
      <c r="F31" s="53" t="n">
        <f aca="false">SUMIFS('Plan détaillé'!$G$2:$G$244,'Plan détaillé'!$A$2:$A$244,$A31,'Plan détaillé'!$E$2:$E$244,"Natation")/60</f>
        <v>3.16666666666667</v>
      </c>
      <c r="G31" s="53" t="n">
        <f aca="false">SUMIFS('Plan détaillé'!$G$2:$G$244,'Plan détaillé'!$A$2:$A$244,$A31,'Plan détaillé'!$E$2:$E$244,"Vélo")/60</f>
        <v>0</v>
      </c>
      <c r="H31" s="54" t="n">
        <f aca="false">SUMIFS('Plan détaillé'!$H$2:$H$244,'Plan détaillé'!$A$2:$A$244,$A31)</f>
        <v>20</v>
      </c>
      <c r="I31" s="55" t="n">
        <f aca="false">SUMIFS('Plan détaillé'!$I$2:$I$244,'Plan détaillé'!$A$2:$A$244,$A31)</f>
        <v>8800</v>
      </c>
      <c r="J31" s="56" t="n">
        <f aca="false">SUMIFS('Plan détaillé'!$M$2:$M$244,'Plan détaillé'!$A$2:$A$244,$A31)</f>
        <v>1765</v>
      </c>
      <c r="K31" s="56" t="n">
        <f aca="false">SUMIFS('Plan détaillé'!$Q$2:$Q$244,'Plan détaillé'!$A$2:$A$244,$A31)</f>
        <v>0</v>
      </c>
      <c r="L31" s="57" t="n">
        <f aca="false">IF(J31=0,"",IFERROR(K31/J31-1,""))</f>
        <v>-1</v>
      </c>
      <c r="M31" s="52" t="n">
        <f aca="false">COUNTIFS('Plan détaillé'!$A$2:$A$244,$A31,'Plan détaillé'!$O$2:$O$244,"x")</f>
        <v>0</v>
      </c>
      <c r="N31" s="54" t="str">
        <f aca="false">IFERROR(AVERAGEIFS('Plan détaillé'!$P$2:$P$244,'Plan détaillé'!$A$2:$A$244,$A31,'Plan détaillé'!$P$2:$P$244,"&gt;0"),"")</f>
        <v/>
      </c>
    </row>
    <row r="32" customFormat="false" ht="15" hidden="false" customHeight="true" outlineLevel="0" collapsed="false">
      <c r="A32" s="5" t="s">
        <v>310</v>
      </c>
      <c r="C32" s="58" t="n">
        <f aca="false">SUM(C2:C31)</f>
        <v>261.1</v>
      </c>
      <c r="D32" s="58" t="n">
        <f aca="false">SUM(D2:D31)</f>
        <v>105.916666666667</v>
      </c>
      <c r="E32" s="58" t="n">
        <f aca="false">SUM(E2:E31)</f>
        <v>61.25</v>
      </c>
      <c r="F32" s="58" t="n">
        <f aca="false">SUM(F2:F31)</f>
        <v>75.4166666666667</v>
      </c>
      <c r="G32" s="58" t="n">
        <f aca="false">SUM(G2:G31)</f>
        <v>18.5166666666667</v>
      </c>
      <c r="H32" s="59" t="n">
        <f aca="false">SUM(H2:H31)</f>
        <v>1115.7</v>
      </c>
      <c r="I32" s="60" t="n">
        <f aca="false">SUM(I2:I31)</f>
        <v>208100</v>
      </c>
      <c r="J32" s="61" t="n">
        <f aca="false">SUM(J2:J31)</f>
        <v>83027</v>
      </c>
      <c r="K32" s="61" t="n">
        <f aca="false">SUM(K2:K31)</f>
        <v>0</v>
      </c>
    </row>
    <row r="34" customFormat="false" ht="15" hidden="false" customHeight="true" outlineLevel="0" collapsed="false">
      <c r="A34" s="62" t="s">
        <v>311</v>
      </c>
    </row>
    <row r="35" customFormat="false" ht="15" hidden="false" customHeight="true" outlineLevel="0" collapsed="false">
      <c r="A35" s="62" t="s">
        <v>312</v>
      </c>
    </row>
    <row r="36" customFormat="false" ht="15" hidden="false" customHeight="true" outlineLevel="0" collapsed="false">
      <c r="A36" s="62" t="s">
        <v>313</v>
      </c>
    </row>
    <row r="37" customFormat="false" ht="15" hidden="false" customHeight="true" outlineLevel="0" collapsed="false">
      <c r="A37" s="62" t="s">
        <v>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2" topLeftCell="A3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34"/>
    <col collapsed="false" customWidth="true" hidden="false" outlineLevel="0" max="4" min="4" style="0" width="16"/>
    <col collapsed="false" customWidth="true" hidden="false" outlineLevel="0" max="5" min="5" style="0" width="14"/>
    <col collapsed="false" customWidth="true" hidden="false" outlineLevel="0" max="6" min="6" style="0" width="24"/>
    <col collapsed="false" customWidth="true" hidden="false" outlineLevel="0" max="7" min="7" style="0" width="18"/>
    <col collapsed="false" customWidth="true" hidden="false" outlineLevel="0" max="8" min="8" style="0" width="56"/>
  </cols>
  <sheetData>
    <row r="1" customFormat="false" ht="18.55" hidden="false" customHeight="false" outlineLevel="0" collapsed="false">
      <c r="A1" s="63" t="s">
        <v>315</v>
      </c>
    </row>
    <row r="2" customFormat="false" ht="30" hidden="false" customHeight="true" outlineLevel="0" collapsed="false">
      <c r="A2" s="64" t="s">
        <v>316</v>
      </c>
      <c r="B2" s="64"/>
      <c r="C2" s="64"/>
      <c r="D2" s="64"/>
      <c r="E2" s="64"/>
      <c r="F2" s="64"/>
      <c r="G2" s="64"/>
      <c r="H2" s="64"/>
    </row>
    <row r="4" customFormat="false" ht="19.5" hidden="false" customHeight="true" outlineLevel="0" collapsed="false">
      <c r="A4" s="65" t="s">
        <v>317</v>
      </c>
      <c r="B4" s="66"/>
      <c r="C4" s="66"/>
      <c r="D4" s="66"/>
      <c r="E4" s="66"/>
      <c r="F4" s="66"/>
      <c r="G4" s="66"/>
      <c r="H4" s="66"/>
    </row>
    <row r="5" customFormat="false" ht="21.75" hidden="false" customHeight="true" outlineLevel="0" collapsed="false">
      <c r="A5" s="67" t="s">
        <v>318</v>
      </c>
      <c r="B5" s="67" t="s">
        <v>319</v>
      </c>
      <c r="C5" s="67" t="s">
        <v>320</v>
      </c>
    </row>
    <row r="6" customFormat="false" ht="33.75" hidden="false" customHeight="true" outlineLevel="0" collapsed="false">
      <c r="A6" s="68" t="s">
        <v>321</v>
      </c>
      <c r="B6" s="9" t="s">
        <v>322</v>
      </c>
      <c r="C6" s="69" t="s">
        <v>323</v>
      </c>
    </row>
    <row r="7" customFormat="false" ht="33.75" hidden="false" customHeight="true" outlineLevel="0" collapsed="false">
      <c r="A7" s="68" t="s">
        <v>324</v>
      </c>
      <c r="B7" s="9" t="s">
        <v>325</v>
      </c>
      <c r="C7" s="69" t="s">
        <v>326</v>
      </c>
    </row>
    <row r="8" customFormat="false" ht="33.75" hidden="false" customHeight="true" outlineLevel="0" collapsed="false">
      <c r="A8" s="68" t="s">
        <v>327</v>
      </c>
      <c r="B8" s="9" t="s">
        <v>328</v>
      </c>
      <c r="C8" s="69" t="s">
        <v>329</v>
      </c>
    </row>
    <row r="9" customFormat="false" ht="33.75" hidden="false" customHeight="true" outlineLevel="0" collapsed="false">
      <c r="A9" s="68" t="s">
        <v>330</v>
      </c>
      <c r="B9" s="9" t="s">
        <v>331</v>
      </c>
      <c r="C9" s="69" t="s">
        <v>332</v>
      </c>
    </row>
    <row r="10" customFormat="false" ht="33.75" hidden="false" customHeight="true" outlineLevel="0" collapsed="false">
      <c r="A10" s="68" t="s">
        <v>333</v>
      </c>
      <c r="B10" s="9" t="s">
        <v>334</v>
      </c>
      <c r="C10" s="69" t="s">
        <v>335</v>
      </c>
    </row>
    <row r="11" customFormat="false" ht="33.75" hidden="false" customHeight="true" outlineLevel="0" collapsed="false">
      <c r="A11" s="68" t="s">
        <v>336</v>
      </c>
      <c r="B11" s="9" t="s">
        <v>337</v>
      </c>
      <c r="C11" s="69" t="s">
        <v>338</v>
      </c>
    </row>
    <row r="13" customFormat="false" ht="19.5" hidden="false" customHeight="true" outlineLevel="0" collapsed="false">
      <c r="A13" s="65" t="s">
        <v>339</v>
      </c>
      <c r="B13" s="66"/>
      <c r="C13" s="66"/>
      <c r="D13" s="66"/>
      <c r="E13" s="66"/>
      <c r="F13" s="66"/>
      <c r="G13" s="66"/>
      <c r="H13" s="66"/>
    </row>
    <row r="14" customFormat="false" ht="21.75" hidden="false" customHeight="true" outlineLevel="0" collapsed="false">
      <c r="A14" s="67"/>
      <c r="B14" s="67" t="s">
        <v>340</v>
      </c>
      <c r="C14" s="67" t="s">
        <v>341</v>
      </c>
      <c r="D14" s="67" t="s">
        <v>342</v>
      </c>
    </row>
    <row r="15" customFormat="false" ht="33.75" hidden="false" customHeight="true" outlineLevel="0" collapsed="false">
      <c r="A15" s="9" t="s">
        <v>343</v>
      </c>
      <c r="B15" s="68" t="s">
        <v>344</v>
      </c>
      <c r="C15" s="69" t="s">
        <v>345</v>
      </c>
      <c r="D15" s="69" t="s">
        <v>346</v>
      </c>
    </row>
    <row r="16" customFormat="false" ht="33.75" hidden="false" customHeight="true" outlineLevel="0" collapsed="false">
      <c r="A16" s="9" t="s">
        <v>347</v>
      </c>
      <c r="B16" s="68" t="s">
        <v>348</v>
      </c>
      <c r="C16" s="69" t="s">
        <v>349</v>
      </c>
      <c r="D16" s="69" t="s">
        <v>350</v>
      </c>
    </row>
    <row r="17" customFormat="false" ht="33.75" hidden="false" customHeight="true" outlineLevel="0" collapsed="false">
      <c r="A17" s="9" t="s">
        <v>351</v>
      </c>
      <c r="B17" s="68" t="s">
        <v>352</v>
      </c>
      <c r="C17" s="69" t="s">
        <v>353</v>
      </c>
      <c r="D17" s="69" t="s">
        <v>354</v>
      </c>
    </row>
    <row r="18" customFormat="false" ht="33.75" hidden="false" customHeight="true" outlineLevel="0" collapsed="false">
      <c r="A18" s="9" t="s">
        <v>355</v>
      </c>
      <c r="B18" s="68" t="s">
        <v>356</v>
      </c>
      <c r="C18" s="69" t="s">
        <v>357</v>
      </c>
      <c r="D18" s="69" t="s">
        <v>358</v>
      </c>
    </row>
    <row r="20" customFormat="false" ht="19.5" hidden="false" customHeight="true" outlineLevel="0" collapsed="false">
      <c r="A20" s="65" t="s">
        <v>359</v>
      </c>
      <c r="B20" s="66"/>
      <c r="C20" s="66"/>
      <c r="D20" s="66"/>
      <c r="E20" s="66"/>
      <c r="F20" s="66"/>
      <c r="G20" s="66"/>
      <c r="H20" s="66"/>
    </row>
    <row r="21" customFormat="false" ht="21.75" hidden="false" customHeight="true" outlineLevel="0" collapsed="false">
      <c r="A21" s="67" t="s">
        <v>360</v>
      </c>
      <c r="B21" s="67" t="s">
        <v>361</v>
      </c>
      <c r="C21" s="67" t="s">
        <v>362</v>
      </c>
    </row>
    <row r="22" customFormat="false" ht="31.5" hidden="false" customHeight="true" outlineLevel="0" collapsed="false">
      <c r="A22" s="68" t="s">
        <v>363</v>
      </c>
      <c r="B22" s="69" t="s">
        <v>364</v>
      </c>
      <c r="C22" s="69" t="s">
        <v>365</v>
      </c>
    </row>
    <row r="23" customFormat="false" ht="31.5" hidden="false" customHeight="true" outlineLevel="0" collapsed="false">
      <c r="A23" s="68" t="s">
        <v>366</v>
      </c>
      <c r="B23" s="69" t="s">
        <v>367</v>
      </c>
      <c r="C23" s="69" t="s">
        <v>368</v>
      </c>
    </row>
    <row r="24" customFormat="false" ht="31.5" hidden="false" customHeight="true" outlineLevel="0" collapsed="false">
      <c r="A24" s="68" t="s">
        <v>369</v>
      </c>
      <c r="B24" s="69" t="s">
        <v>370</v>
      </c>
      <c r="C24" s="69" t="s">
        <v>371</v>
      </c>
    </row>
    <row r="25" customFormat="false" ht="31.5" hidden="false" customHeight="true" outlineLevel="0" collapsed="false">
      <c r="A25" s="68" t="s">
        <v>372</v>
      </c>
      <c r="B25" s="69" t="s">
        <v>373</v>
      </c>
      <c r="C25" s="69" t="s">
        <v>374</v>
      </c>
    </row>
    <row r="26" customFormat="false" ht="31.5" hidden="false" customHeight="true" outlineLevel="0" collapsed="false">
      <c r="A26" s="68" t="s">
        <v>375</v>
      </c>
      <c r="B26" s="69" t="s">
        <v>376</v>
      </c>
      <c r="C26" s="69" t="s">
        <v>377</v>
      </c>
    </row>
    <row r="27" customFormat="false" ht="31.5" hidden="false" customHeight="true" outlineLevel="0" collapsed="false">
      <c r="A27" s="68" t="s">
        <v>378</v>
      </c>
      <c r="B27" s="69" t="s">
        <v>379</v>
      </c>
      <c r="C27" s="69" t="s">
        <v>380</v>
      </c>
    </row>
    <row r="28" customFormat="false" ht="31.5" hidden="false" customHeight="true" outlineLevel="0" collapsed="false">
      <c r="A28" s="68" t="s">
        <v>381</v>
      </c>
      <c r="B28" s="69" t="s">
        <v>382</v>
      </c>
      <c r="C28" s="69" t="s">
        <v>383</v>
      </c>
    </row>
    <row r="29" customFormat="false" ht="31.5" hidden="false" customHeight="true" outlineLevel="0" collapsed="false">
      <c r="A29" s="68" t="s">
        <v>384</v>
      </c>
      <c r="B29" s="69" t="s">
        <v>385</v>
      </c>
      <c r="C29" s="69" t="s">
        <v>386</v>
      </c>
    </row>
    <row r="31" customFormat="false" ht="19.5" hidden="false" customHeight="true" outlineLevel="0" collapsed="false">
      <c r="A31" s="65" t="s">
        <v>387</v>
      </c>
      <c r="B31" s="66"/>
      <c r="C31" s="66"/>
      <c r="D31" s="66"/>
      <c r="E31" s="66"/>
      <c r="F31" s="66"/>
      <c r="G31" s="66"/>
      <c r="H31" s="66"/>
    </row>
    <row r="32" customFormat="false" ht="39.75" hidden="false" customHeight="true" outlineLevel="0" collapsed="false">
      <c r="A32" s="6" t="s">
        <v>70</v>
      </c>
      <c r="B32" s="6" t="s">
        <v>388</v>
      </c>
      <c r="C32" s="6" t="s">
        <v>389</v>
      </c>
      <c r="D32" s="6" t="s">
        <v>390</v>
      </c>
      <c r="E32" s="6" t="s">
        <v>391</v>
      </c>
      <c r="F32" s="6" t="s">
        <v>392</v>
      </c>
      <c r="G32" s="6" t="s">
        <v>393</v>
      </c>
      <c r="H32" s="6" t="s">
        <v>394</v>
      </c>
    </row>
    <row r="33" customFormat="false" ht="25.5" hidden="false" customHeight="true" outlineLevel="0" collapsed="false">
      <c r="A33" s="70" t="n">
        <v>1</v>
      </c>
      <c r="B33" s="70" t="s">
        <v>395</v>
      </c>
      <c r="C33" s="71" t="s">
        <v>396</v>
      </c>
      <c r="D33" s="71"/>
      <c r="E33" s="71"/>
      <c r="F33" s="71"/>
      <c r="G33" s="71"/>
      <c r="H33" s="71" t="s">
        <v>397</v>
      </c>
    </row>
    <row r="34" customFormat="false" ht="25.5" hidden="false" customHeight="true" outlineLevel="0" collapsed="false">
      <c r="A34" s="70" t="n">
        <v>2</v>
      </c>
      <c r="B34" s="70"/>
      <c r="C34" s="71"/>
      <c r="D34" s="71"/>
      <c r="E34" s="71"/>
      <c r="F34" s="71"/>
      <c r="G34" s="71"/>
      <c r="H34" s="71"/>
    </row>
    <row r="35" customFormat="false" ht="25.5" hidden="false" customHeight="true" outlineLevel="0" collapsed="false">
      <c r="A35" s="70" t="n">
        <v>3</v>
      </c>
      <c r="B35" s="70"/>
      <c r="C35" s="71"/>
      <c r="D35" s="71"/>
      <c r="E35" s="71"/>
      <c r="F35" s="71"/>
      <c r="G35" s="71"/>
      <c r="H35" s="71"/>
    </row>
    <row r="36" customFormat="false" ht="25.5" hidden="false" customHeight="true" outlineLevel="0" collapsed="false">
      <c r="A36" s="70" t="n">
        <v>4</v>
      </c>
      <c r="B36" s="70"/>
      <c r="C36" s="71"/>
      <c r="D36" s="71"/>
      <c r="E36" s="71"/>
      <c r="F36" s="71"/>
      <c r="G36" s="71"/>
      <c r="H36" s="71"/>
    </row>
    <row r="37" customFormat="false" ht="25.5" hidden="false" customHeight="true" outlineLevel="0" collapsed="false">
      <c r="A37" s="70" t="n">
        <v>5</v>
      </c>
      <c r="B37" s="70"/>
      <c r="C37" s="71"/>
      <c r="D37" s="71"/>
      <c r="E37" s="71"/>
      <c r="F37" s="71"/>
      <c r="G37" s="71"/>
      <c r="H37" s="71"/>
    </row>
    <row r="38" customFormat="false" ht="25.5" hidden="false" customHeight="true" outlineLevel="0" collapsed="false">
      <c r="A38" s="70" t="n">
        <v>6</v>
      </c>
      <c r="B38" s="70"/>
      <c r="C38" s="71"/>
      <c r="D38" s="71"/>
      <c r="E38" s="71"/>
      <c r="F38" s="71"/>
      <c r="G38" s="71"/>
      <c r="H38" s="71"/>
    </row>
    <row r="39" customFormat="false" ht="25.5" hidden="false" customHeight="true" outlineLevel="0" collapsed="false">
      <c r="A39" s="70" t="n">
        <v>7</v>
      </c>
      <c r="B39" s="70"/>
      <c r="C39" s="71"/>
      <c r="D39" s="71"/>
      <c r="E39" s="71"/>
      <c r="F39" s="71"/>
      <c r="G39" s="71"/>
      <c r="H39" s="71"/>
    </row>
    <row r="40" customFormat="false" ht="25.5" hidden="false" customHeight="true" outlineLevel="0" collapsed="false">
      <c r="A40" s="70" t="n">
        <v>8</v>
      </c>
      <c r="B40" s="70"/>
      <c r="C40" s="71"/>
      <c r="D40" s="71"/>
      <c r="E40" s="71"/>
      <c r="F40" s="71"/>
      <c r="G40" s="71"/>
      <c r="H40" s="71"/>
    </row>
    <row r="41" customFormat="false" ht="25.5" hidden="false" customHeight="true" outlineLevel="0" collapsed="false">
      <c r="A41" s="70" t="n">
        <v>9</v>
      </c>
      <c r="B41" s="70"/>
      <c r="C41" s="71"/>
      <c r="D41" s="71"/>
      <c r="E41" s="71"/>
      <c r="F41" s="71"/>
      <c r="G41" s="71"/>
      <c r="H41" s="71"/>
    </row>
    <row r="42" customFormat="false" ht="25.5" hidden="false" customHeight="true" outlineLevel="0" collapsed="false">
      <c r="A42" s="70" t="n">
        <v>10</v>
      </c>
      <c r="B42" s="70"/>
      <c r="C42" s="71"/>
      <c r="D42" s="71"/>
      <c r="E42" s="71"/>
      <c r="F42" s="71"/>
      <c r="G42" s="71"/>
      <c r="H42" s="71"/>
    </row>
    <row r="43" customFormat="false" ht="25.5" hidden="false" customHeight="true" outlineLevel="0" collapsed="false">
      <c r="A43" s="70" t="n">
        <v>11</v>
      </c>
      <c r="B43" s="70"/>
      <c r="C43" s="71"/>
      <c r="D43" s="71"/>
      <c r="E43" s="71"/>
      <c r="F43" s="71"/>
      <c r="G43" s="71"/>
      <c r="H43" s="71"/>
    </row>
    <row r="44" customFormat="false" ht="25.5" hidden="false" customHeight="true" outlineLevel="0" collapsed="false">
      <c r="A44" s="70" t="n">
        <v>12</v>
      </c>
      <c r="B44" s="70"/>
      <c r="C44" s="71"/>
      <c r="D44" s="71"/>
      <c r="E44" s="71"/>
      <c r="F44" s="71"/>
      <c r="G44" s="71"/>
      <c r="H44" s="71"/>
    </row>
    <row r="45" customFormat="false" ht="25.5" hidden="false" customHeight="true" outlineLevel="0" collapsed="false">
      <c r="A45" s="70" t="n">
        <v>13</v>
      </c>
      <c r="B45" s="70"/>
      <c r="C45" s="71"/>
      <c r="D45" s="71"/>
      <c r="E45" s="71"/>
      <c r="F45" s="71"/>
      <c r="G45" s="71"/>
      <c r="H45" s="71"/>
    </row>
    <row r="46" customFormat="false" ht="25.5" hidden="false" customHeight="true" outlineLevel="0" collapsed="false">
      <c r="A46" s="70" t="n">
        <v>14</v>
      </c>
      <c r="B46" s="70"/>
      <c r="C46" s="71"/>
      <c r="D46" s="71"/>
      <c r="E46" s="71"/>
      <c r="F46" s="71"/>
      <c r="G46" s="71"/>
      <c r="H46" s="71"/>
    </row>
    <row r="47" customFormat="false" ht="25.5" hidden="false" customHeight="true" outlineLevel="0" collapsed="false">
      <c r="A47" s="70" t="n">
        <v>15</v>
      </c>
      <c r="B47" s="70"/>
      <c r="C47" s="71"/>
      <c r="D47" s="71"/>
      <c r="E47" s="71"/>
      <c r="F47" s="71"/>
      <c r="G47" s="71"/>
      <c r="H47" s="71"/>
    </row>
    <row r="48" customFormat="false" ht="25.5" hidden="false" customHeight="true" outlineLevel="0" collapsed="false">
      <c r="A48" s="70" t="n">
        <v>16</v>
      </c>
      <c r="B48" s="70"/>
      <c r="C48" s="71"/>
      <c r="D48" s="71"/>
      <c r="E48" s="71"/>
      <c r="F48" s="71"/>
      <c r="G48" s="71"/>
      <c r="H48" s="71"/>
    </row>
    <row r="49" customFormat="false" ht="25.5" hidden="false" customHeight="true" outlineLevel="0" collapsed="false">
      <c r="A49" s="70" t="n">
        <v>17</v>
      </c>
      <c r="B49" s="70"/>
      <c r="C49" s="71"/>
      <c r="D49" s="71"/>
      <c r="E49" s="71"/>
      <c r="F49" s="71"/>
      <c r="G49" s="71"/>
      <c r="H49" s="71"/>
    </row>
    <row r="50" customFormat="false" ht="25.5" hidden="false" customHeight="true" outlineLevel="0" collapsed="false">
      <c r="A50" s="70" t="n">
        <v>18</v>
      </c>
      <c r="B50" s="70"/>
      <c r="C50" s="71"/>
      <c r="D50" s="71"/>
      <c r="E50" s="71"/>
      <c r="F50" s="71"/>
      <c r="G50" s="71"/>
      <c r="H50" s="71"/>
    </row>
    <row r="51" customFormat="false" ht="25.5" hidden="false" customHeight="true" outlineLevel="0" collapsed="false">
      <c r="A51" s="70" t="n">
        <v>19</v>
      </c>
      <c r="B51" s="70"/>
      <c r="C51" s="71"/>
      <c r="D51" s="71"/>
      <c r="E51" s="71"/>
      <c r="F51" s="71"/>
      <c r="G51" s="71"/>
      <c r="H51" s="71"/>
    </row>
    <row r="52" customFormat="false" ht="25.5" hidden="false" customHeight="true" outlineLevel="0" collapsed="false">
      <c r="A52" s="70" t="n">
        <v>20</v>
      </c>
      <c r="B52" s="70"/>
      <c r="C52" s="71"/>
      <c r="D52" s="71"/>
      <c r="E52" s="71"/>
      <c r="F52" s="71"/>
      <c r="G52" s="71"/>
      <c r="H52" s="71"/>
    </row>
    <row r="53" customFormat="false" ht="25.5" hidden="false" customHeight="true" outlineLevel="0" collapsed="false">
      <c r="A53" s="70" t="n">
        <v>21</v>
      </c>
      <c r="B53" s="70"/>
      <c r="C53" s="71"/>
      <c r="D53" s="71"/>
      <c r="E53" s="71"/>
      <c r="F53" s="71"/>
      <c r="G53" s="71"/>
      <c r="H53" s="71"/>
    </row>
    <row r="54" customFormat="false" ht="25.5" hidden="false" customHeight="true" outlineLevel="0" collapsed="false">
      <c r="A54" s="70" t="n">
        <v>22</v>
      </c>
      <c r="B54" s="70"/>
      <c r="C54" s="71"/>
      <c r="D54" s="71"/>
      <c r="E54" s="71"/>
      <c r="F54" s="71"/>
      <c r="G54" s="71"/>
      <c r="H54" s="71"/>
    </row>
    <row r="55" customFormat="false" ht="25.5" hidden="false" customHeight="true" outlineLevel="0" collapsed="false">
      <c r="A55" s="70" t="n">
        <v>23</v>
      </c>
      <c r="B55" s="70"/>
      <c r="C55" s="71"/>
      <c r="D55" s="71"/>
      <c r="E55" s="71"/>
      <c r="F55" s="71"/>
      <c r="G55" s="71"/>
      <c r="H55" s="71"/>
    </row>
    <row r="56" customFormat="false" ht="25.5" hidden="false" customHeight="true" outlineLevel="0" collapsed="false">
      <c r="A56" s="70" t="n">
        <v>24</v>
      </c>
      <c r="B56" s="70"/>
      <c r="C56" s="71"/>
      <c r="D56" s="71"/>
      <c r="E56" s="71"/>
      <c r="F56" s="71"/>
      <c r="G56" s="71"/>
      <c r="H56" s="71"/>
    </row>
    <row r="57" customFormat="false" ht="25.5" hidden="false" customHeight="true" outlineLevel="0" collapsed="false">
      <c r="A57" s="70" t="n">
        <v>25</v>
      </c>
      <c r="B57" s="70"/>
      <c r="C57" s="71"/>
      <c r="D57" s="71"/>
      <c r="E57" s="71"/>
      <c r="F57" s="71"/>
      <c r="G57" s="71"/>
      <c r="H57" s="71"/>
    </row>
    <row r="58" customFormat="false" ht="25.5" hidden="false" customHeight="true" outlineLevel="0" collapsed="false">
      <c r="A58" s="70" t="n">
        <v>26</v>
      </c>
      <c r="B58" s="70"/>
      <c r="C58" s="71"/>
      <c r="D58" s="71"/>
      <c r="E58" s="71"/>
      <c r="F58" s="71"/>
      <c r="G58" s="71"/>
      <c r="H58" s="71"/>
    </row>
    <row r="59" customFormat="false" ht="25.5" hidden="false" customHeight="true" outlineLevel="0" collapsed="false">
      <c r="A59" s="70" t="n">
        <v>27</v>
      </c>
      <c r="B59" s="70"/>
      <c r="C59" s="71"/>
      <c r="D59" s="71"/>
      <c r="E59" s="71"/>
      <c r="F59" s="71"/>
      <c r="G59" s="71"/>
      <c r="H59" s="71"/>
    </row>
    <row r="60" customFormat="false" ht="25.5" hidden="false" customHeight="true" outlineLevel="0" collapsed="false">
      <c r="A60" s="70" t="n">
        <v>28</v>
      </c>
      <c r="B60" s="70"/>
      <c r="C60" s="71"/>
      <c r="D60" s="71"/>
      <c r="E60" s="71"/>
      <c r="F60" s="71"/>
      <c r="G60" s="71"/>
      <c r="H60" s="71"/>
    </row>
    <row r="61" customFormat="false" ht="25.5" hidden="false" customHeight="true" outlineLevel="0" collapsed="false">
      <c r="A61" s="70" t="n">
        <v>29</v>
      </c>
      <c r="B61" s="70"/>
      <c r="C61" s="71"/>
      <c r="D61" s="71"/>
      <c r="E61" s="71"/>
      <c r="F61" s="71"/>
      <c r="G61" s="71"/>
      <c r="H61" s="71"/>
    </row>
    <row r="62" customFormat="false" ht="25.5" hidden="false" customHeight="true" outlineLevel="0" collapsed="false">
      <c r="A62" s="70" t="n">
        <v>30</v>
      </c>
      <c r="B62" s="70"/>
      <c r="C62" s="71"/>
      <c r="D62" s="71"/>
      <c r="E62" s="71"/>
      <c r="F62" s="71"/>
      <c r="G62" s="71"/>
      <c r="H62" s="71"/>
    </row>
    <row r="64" customFormat="false" ht="15" hidden="false" customHeight="false" outlineLevel="0" collapsed="false">
      <c r="A64" s="72" t="s">
        <v>398</v>
      </c>
    </row>
    <row r="65" customFormat="false" ht="15" hidden="false" customHeight="false" outlineLevel="0" collapsed="false">
      <c r="A65" s="72" t="s">
        <v>399</v>
      </c>
    </row>
    <row r="66" customFormat="false" ht="15" hidden="false" customHeight="false" outlineLevel="0" collapsed="false">
      <c r="A66" s="72" t="s">
        <v>400</v>
      </c>
    </row>
  </sheetData>
  <mergeCells count="1">
    <mergeCell ref="A2:H2"/>
  </mergeCells>
  <dataValidations count="1">
    <dataValidation allowBlank="true" errorStyle="stop" operator="between" showDropDown="false" showErrorMessage="false" showInputMessage="false" sqref="E33:E62"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0"/>
    <col collapsed="false" customWidth="true" hidden="false" outlineLevel="0" max="3" min="3" style="1" width="28"/>
    <col collapsed="false" customWidth="true" hidden="false" outlineLevel="0" max="7" min="4" style="1" width="14"/>
    <col collapsed="false" customWidth="true" hidden="false" outlineLevel="0" max="8" min="8" style="1" width="60"/>
  </cols>
  <sheetData>
    <row r="1" customFormat="false" ht="17.25" hidden="false" customHeight="true" outlineLevel="0" collapsed="false">
      <c r="A1" s="73" t="s">
        <v>401</v>
      </c>
    </row>
    <row r="2" customFormat="false" ht="30" hidden="false" customHeight="true" outlineLevel="0" collapsed="false">
      <c r="A2" s="64" t="s">
        <v>402</v>
      </c>
      <c r="B2" s="64"/>
      <c r="C2" s="64"/>
      <c r="D2" s="64"/>
      <c r="E2" s="64"/>
    </row>
    <row r="4" customFormat="false" ht="15" hidden="false" customHeight="true" outlineLevel="0" collapsed="false">
      <c r="A4" s="4" t="s">
        <v>403</v>
      </c>
      <c r="B4" s="74" t="n">
        <v>5</v>
      </c>
    </row>
    <row r="5" customFormat="false" ht="15" hidden="false" customHeight="true" outlineLevel="0" collapsed="false">
      <c r="A5" s="4" t="s">
        <v>404</v>
      </c>
      <c r="B5" s="74" t="n">
        <v>12</v>
      </c>
    </row>
    <row r="6" customFormat="false" ht="15" hidden="false" customHeight="true" outlineLevel="0" collapsed="false">
      <c r="A6" s="4" t="s">
        <v>405</v>
      </c>
      <c r="B6" s="74" t="n">
        <v>3</v>
      </c>
    </row>
    <row r="7" customFormat="false" ht="15" hidden="false" customHeight="true" outlineLevel="0" collapsed="false">
      <c r="A7" s="4" t="s">
        <v>406</v>
      </c>
      <c r="B7" s="74" t="n">
        <v>36</v>
      </c>
    </row>
    <row r="8" customFormat="false" ht="15" hidden="false" customHeight="true" outlineLevel="0" collapsed="false">
      <c r="A8" s="4" t="s">
        <v>407</v>
      </c>
      <c r="B8" s="75" t="n">
        <f aca="false">B4*60+B5</f>
        <v>312</v>
      </c>
    </row>
    <row r="9" customFormat="false" ht="15" hidden="false" customHeight="true" outlineLevel="0" collapsed="false">
      <c r="A9" s="4" t="s">
        <v>408</v>
      </c>
      <c r="B9" s="75" t="n">
        <f aca="false">B6*60+B7</f>
        <v>216</v>
      </c>
    </row>
    <row r="10" customFormat="false" ht="15" hidden="false" customHeight="true" outlineLevel="0" collapsed="false">
      <c r="A10" s="4" t="s">
        <v>409</v>
      </c>
      <c r="B10" s="76" t="str">
        <f aca="false">TEXT(B8*10/86400,"[m]:ss")&amp;"  →  "&amp;TEXT(B9*10/86400,"[m]:ss")</f>
        <v>52:00  →  36:00</v>
      </c>
    </row>
    <row r="12" customFormat="false" ht="30" hidden="false" customHeight="true" outlineLevel="0" collapsed="false">
      <c r="A12" s="6" t="s">
        <v>410</v>
      </c>
      <c r="B12" s="6" t="s">
        <v>411</v>
      </c>
      <c r="C12" s="6" t="s">
        <v>412</v>
      </c>
      <c r="D12" s="6" t="s">
        <v>413</v>
      </c>
      <c r="E12" s="6" t="s">
        <v>414</v>
      </c>
    </row>
    <row r="13" customFormat="false" ht="15" hidden="false" customHeight="true" outlineLevel="0" collapsed="false">
      <c r="A13" s="41" t="s">
        <v>415</v>
      </c>
      <c r="B13" s="41" t="s">
        <v>416</v>
      </c>
      <c r="C13" s="77" t="n">
        <f aca="false">$B$8</f>
        <v>312</v>
      </c>
      <c r="D13" s="41" t="str">
        <f aca="false">TEXT(C13*10/86400,"[m]:ss")</f>
        <v>52:00</v>
      </c>
      <c r="E13" s="41" t="s">
        <v>417</v>
      </c>
    </row>
    <row r="14" customFormat="false" ht="15" hidden="false" customHeight="true" outlineLevel="0" collapsed="false">
      <c r="A14" s="41" t="s">
        <v>418</v>
      </c>
      <c r="B14" s="41" t="s">
        <v>419</v>
      </c>
      <c r="C14" s="77" t="n">
        <f aca="false">$B$8-($B$8-$B$9)*0.28</f>
        <v>285.12</v>
      </c>
      <c r="D14" s="41" t="str">
        <f aca="false">TEXT(C14*10/86400,"[m]:ss")</f>
        <v>47:31</v>
      </c>
      <c r="E14" s="41" t="s">
        <v>420</v>
      </c>
    </row>
    <row r="15" customFormat="false" ht="15" hidden="false" customHeight="true" outlineLevel="0" collapsed="false">
      <c r="A15" s="41" t="s">
        <v>421</v>
      </c>
      <c r="B15" s="41" t="s">
        <v>422</v>
      </c>
      <c r="C15" s="77" t="n">
        <f aca="false">$B$8-($B$8-$B$9)*0.65</f>
        <v>249.6</v>
      </c>
      <c r="D15" s="41" t="str">
        <f aca="false">TEXT(C15*10/86400,"[m]:ss")</f>
        <v>41:36</v>
      </c>
      <c r="E15" s="41" t="s">
        <v>423</v>
      </c>
    </row>
    <row r="16" customFormat="false" ht="15" hidden="false" customHeight="true" outlineLevel="0" collapsed="false">
      <c r="A16" s="78" t="s">
        <v>424</v>
      </c>
      <c r="B16" s="78" t="s">
        <v>425</v>
      </c>
      <c r="C16" s="79" t="n">
        <f aca="false">$B$9</f>
        <v>216</v>
      </c>
      <c r="D16" s="78" t="str">
        <f aca="false">TEXT(C16*10/86400,"[m]:ss")</f>
        <v>36:00</v>
      </c>
      <c r="E16" s="78" t="s">
        <v>426</v>
      </c>
    </row>
    <row r="18" customFormat="false" ht="31.5" hidden="false" customHeight="true" outlineLevel="0" collapsed="false">
      <c r="A18" s="6" t="s">
        <v>427</v>
      </c>
      <c r="B18" s="6" t="s">
        <v>428</v>
      </c>
      <c r="C18" s="6" t="s">
        <v>429</v>
      </c>
      <c r="D18" s="6" t="s">
        <v>430</v>
      </c>
      <c r="E18" s="6" t="s">
        <v>431</v>
      </c>
      <c r="F18" s="6" t="s">
        <v>432</v>
      </c>
      <c r="G18" s="6" t="s">
        <v>433</v>
      </c>
      <c r="H18" s="6" t="s">
        <v>434</v>
      </c>
    </row>
    <row r="19" customFormat="false" ht="15" hidden="false" customHeight="true" outlineLevel="0" collapsed="false">
      <c r="A19" s="41" t="s">
        <v>435</v>
      </c>
      <c r="B19" s="41" t="s">
        <v>179</v>
      </c>
      <c r="C19" s="41" t="n">
        <v>95</v>
      </c>
      <c r="D19" s="41" t="str">
        <f aca="false">TEXT(($C$13+$C$19)/86400,"mm:ss")</f>
        <v>06:47</v>
      </c>
      <c r="E19" s="41" t="str">
        <f aca="false">TEXT(($C$14+$C$19)/86400,"mm:ss")</f>
        <v>06:20</v>
      </c>
      <c r="F19" s="41" t="str">
        <f aca="false">TEXT(($C$15+$C$19)/86400,"mm:ss")</f>
        <v>05:44</v>
      </c>
      <c r="G19" s="41" t="str">
        <f aca="false">TEXT(($C$16+$C$19)/86400,"mm:ss")</f>
        <v>05:11</v>
      </c>
      <c r="H19" s="41" t="s">
        <v>436</v>
      </c>
    </row>
    <row r="20" customFormat="false" ht="15" hidden="false" customHeight="true" outlineLevel="0" collapsed="false">
      <c r="A20" s="41" t="s">
        <v>437</v>
      </c>
      <c r="B20" s="41" t="s">
        <v>120</v>
      </c>
      <c r="C20" s="41" t="n">
        <v>75</v>
      </c>
      <c r="D20" s="41" t="str">
        <f aca="false">TEXT(($C$13+$C$20)/86400,"mm:ss")</f>
        <v>06:27</v>
      </c>
      <c r="E20" s="41" t="str">
        <f aca="false">TEXT(($C$14+$C$20)/86400,"mm:ss")</f>
        <v>06:00</v>
      </c>
      <c r="F20" s="41" t="str">
        <f aca="false">TEXT(($C$15+$C$20)/86400,"mm:ss")</f>
        <v>05:24</v>
      </c>
      <c r="G20" s="41" t="str">
        <f aca="false">TEXT(($C$16+$C$20)/86400,"mm:ss")</f>
        <v>04:51</v>
      </c>
      <c r="H20" s="41" t="s">
        <v>438</v>
      </c>
    </row>
    <row r="21" customFormat="false" ht="15" hidden="false" customHeight="true" outlineLevel="0" collapsed="false">
      <c r="A21" s="41" t="s">
        <v>439</v>
      </c>
      <c r="B21" s="41" t="s">
        <v>440</v>
      </c>
      <c r="C21" s="41" t="n">
        <v>55</v>
      </c>
      <c r="D21" s="41" t="str">
        <f aca="false">TEXT(($C$13+$C$21)/86400,"mm:ss")</f>
        <v>06:07</v>
      </c>
      <c r="E21" s="41" t="str">
        <f aca="false">TEXT(($C$14+$C$21)/86400,"mm:ss")</f>
        <v>05:40</v>
      </c>
      <c r="F21" s="41" t="str">
        <f aca="false">TEXT(($C$15+$C$21)/86400,"mm:ss")</f>
        <v>05:04</v>
      </c>
      <c r="G21" s="41" t="str">
        <f aca="false">TEXT(($C$16+$C$21)/86400,"mm:ss")</f>
        <v>04:31</v>
      </c>
      <c r="H21" s="41" t="s">
        <v>441</v>
      </c>
    </row>
    <row r="22" customFormat="false" ht="15" hidden="false" customHeight="true" outlineLevel="0" collapsed="false">
      <c r="A22" s="41" t="s">
        <v>442</v>
      </c>
      <c r="B22" s="41" t="s">
        <v>443</v>
      </c>
      <c r="C22" s="41" t="n">
        <v>30</v>
      </c>
      <c r="D22" s="41" t="str">
        <f aca="false">TEXT(($C$13+$C$22)/86400,"mm:ss")</f>
        <v>05:42</v>
      </c>
      <c r="E22" s="41" t="str">
        <f aca="false">TEXT(($C$14+$C$22)/86400,"mm:ss")</f>
        <v>05:15</v>
      </c>
      <c r="F22" s="41" t="str">
        <f aca="false">TEXT(($C$15+$C$22)/86400,"mm:ss")</f>
        <v>04:39</v>
      </c>
      <c r="G22" s="41" t="str">
        <f aca="false">TEXT(($C$16+$C$22)/86400,"mm:ss")</f>
        <v>04:06</v>
      </c>
      <c r="H22" s="41" t="s">
        <v>444</v>
      </c>
    </row>
    <row r="23" customFormat="false" ht="15" hidden="false" customHeight="true" outlineLevel="0" collapsed="false">
      <c r="A23" s="41" t="s">
        <v>445</v>
      </c>
      <c r="B23" s="41" t="s">
        <v>221</v>
      </c>
      <c r="C23" s="41" t="n">
        <v>14</v>
      </c>
      <c r="D23" s="41" t="str">
        <f aca="false">TEXT(($C$13+$C$23)/86400,"mm:ss")</f>
        <v>05:26</v>
      </c>
      <c r="E23" s="41" t="str">
        <f aca="false">TEXT(($C$14+$C$23)/86400,"mm:ss")</f>
        <v>04:59</v>
      </c>
      <c r="F23" s="41" t="str">
        <f aca="false">TEXT(($C$15+$C$23)/86400,"mm:ss")</f>
        <v>04:23</v>
      </c>
      <c r="G23" s="41" t="str">
        <f aca="false">TEXT(($C$16+$C$23)/86400,"mm:ss")</f>
        <v>03:50</v>
      </c>
      <c r="H23" s="41" t="s">
        <v>446</v>
      </c>
    </row>
    <row r="24" customFormat="false" ht="15" hidden="false" customHeight="true" outlineLevel="0" collapsed="false">
      <c r="A24" s="41" t="s">
        <v>447</v>
      </c>
      <c r="B24" s="41" t="s">
        <v>447</v>
      </c>
      <c r="C24" s="41" t="n">
        <v>10</v>
      </c>
      <c r="D24" s="41" t="str">
        <f aca="false">TEXT(($C$13+$C$24)/86400,"mm:ss")</f>
        <v>05:22</v>
      </c>
      <c r="E24" s="41" t="str">
        <f aca="false">TEXT(($C$14+$C$24)/86400,"mm:ss")</f>
        <v>04:55</v>
      </c>
      <c r="F24" s="41" t="str">
        <f aca="false">TEXT(($C$15+$C$24)/86400,"mm:ss")</f>
        <v>04:19</v>
      </c>
      <c r="G24" s="41" t="str">
        <f aca="false">TEXT(($C$16+$C$24)/86400,"mm:ss")</f>
        <v>03:46</v>
      </c>
      <c r="H24" s="41" t="s">
        <v>448</v>
      </c>
    </row>
    <row r="25" customFormat="false" ht="15" hidden="false" customHeight="true" outlineLevel="0" collapsed="false">
      <c r="A25" s="78" t="s">
        <v>449</v>
      </c>
      <c r="B25" s="78" t="s">
        <v>231</v>
      </c>
      <c r="C25" s="78" t="n">
        <v>0</v>
      </c>
      <c r="D25" s="78" t="str">
        <f aca="false">TEXT(($C$13+$C$25)/86400,"mm:ss")</f>
        <v>05:12</v>
      </c>
      <c r="E25" s="78" t="str">
        <f aca="false">TEXT(($C$14+$C$25)/86400,"mm:ss")</f>
        <v>04:45</v>
      </c>
      <c r="F25" s="78" t="str">
        <f aca="false">TEXT(($C$15+$C$25)/86400,"mm:ss")</f>
        <v>04:09</v>
      </c>
      <c r="G25" s="78" t="str">
        <f aca="false">TEXT(($C$16+$C$25)/86400,"mm:ss")</f>
        <v>03:36</v>
      </c>
      <c r="H25" s="78" t="s">
        <v>450</v>
      </c>
    </row>
    <row r="26" customFormat="false" ht="15" hidden="false" customHeight="true" outlineLevel="0" collapsed="false">
      <c r="A26" s="41" t="s">
        <v>451</v>
      </c>
      <c r="B26" s="41" t="s">
        <v>452</v>
      </c>
      <c r="C26" s="41" t="n">
        <v>-10</v>
      </c>
      <c r="D26" s="41" t="str">
        <f aca="false">TEXT(($C$13+$C$26)/86400,"mm:ss")</f>
        <v>05:02</v>
      </c>
      <c r="E26" s="41" t="str">
        <f aca="false">TEXT(($C$14+$C$26)/86400,"mm:ss")</f>
        <v>04:35</v>
      </c>
      <c r="F26" s="41" t="str">
        <f aca="false">TEXT(($C$15+$C$26)/86400,"mm:ss")</f>
        <v>03:59</v>
      </c>
      <c r="G26" s="41" t="str">
        <f aca="false">TEXT(($C$16+$C$26)/86400,"mm:ss")</f>
        <v>03:26</v>
      </c>
      <c r="H26" s="41" t="s">
        <v>453</v>
      </c>
    </row>
    <row r="28" customFormat="false" ht="15" hidden="false" customHeight="true" outlineLevel="0" collapsed="false">
      <c r="A28" s="62" t="s">
        <v>454</v>
      </c>
    </row>
    <row r="29" customFormat="false" ht="15" hidden="false" customHeight="true" outlineLevel="0" collapsed="false">
      <c r="A29" s="62" t="s">
        <v>455</v>
      </c>
    </row>
    <row r="30" customFormat="false" ht="15" hidden="false" customHeight="true" outlineLevel="0" collapsed="false">
      <c r="A30" s="62" t="s">
        <v>456</v>
      </c>
    </row>
    <row r="31" customFormat="false" ht="15" hidden="false" customHeight="true" outlineLevel="0" collapsed="false">
      <c r="A31" s="62" t="s">
        <v>457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4"/>
    <col collapsed="false" customWidth="true" hidden="false" outlineLevel="0" max="4" min="4" style="1" width="38"/>
    <col collapsed="false" customWidth="true" hidden="false" outlineLevel="0" max="5" min="5" style="1" width="40"/>
    <col collapsed="false" customWidth="true" hidden="false" outlineLevel="0" max="6" min="6" style="1" width="26"/>
    <col collapsed="false" customWidth="true" hidden="false" outlineLevel="0" max="7" min="7" style="1" width="88"/>
  </cols>
  <sheetData>
    <row r="1" customFormat="false" ht="18" hidden="false" customHeight="true" outlineLevel="0" collapsed="false">
      <c r="A1" s="2" t="s">
        <v>458</v>
      </c>
    </row>
    <row r="2" customFormat="false" ht="42" hidden="false" customHeight="true" outlineLevel="0" collapsed="false">
      <c r="A2" s="64" t="s">
        <v>459</v>
      </c>
      <c r="B2" s="64"/>
      <c r="C2" s="64"/>
      <c r="D2" s="64"/>
      <c r="E2" s="64"/>
      <c r="F2" s="64"/>
      <c r="G2" s="64"/>
    </row>
    <row r="4" customFormat="false" ht="30" hidden="false" customHeight="true" outlineLevel="0" collapsed="false">
      <c r="A4" s="6" t="s">
        <v>460</v>
      </c>
      <c r="B4" s="6" t="s">
        <v>72</v>
      </c>
      <c r="C4" s="6" t="s">
        <v>461</v>
      </c>
      <c r="D4" s="6" t="s">
        <v>462</v>
      </c>
      <c r="E4" s="6" t="s">
        <v>463</v>
      </c>
      <c r="F4" s="6" t="s">
        <v>464</v>
      </c>
      <c r="G4" s="6" t="s">
        <v>465</v>
      </c>
    </row>
    <row r="5" customFormat="false" ht="75.75" hidden="false" customHeight="true" outlineLevel="0" collapsed="false">
      <c r="A5" s="9" t="s">
        <v>343</v>
      </c>
      <c r="B5" s="9" t="s">
        <v>466</v>
      </c>
      <c r="C5" s="9" t="s">
        <v>467</v>
      </c>
      <c r="D5" s="68" t="s">
        <v>468</v>
      </c>
      <c r="E5" s="69" t="s">
        <v>469</v>
      </c>
      <c r="F5" s="69" t="s">
        <v>470</v>
      </c>
      <c r="G5" s="69" t="s">
        <v>471</v>
      </c>
    </row>
    <row r="6" customFormat="false" ht="15" hidden="false" customHeight="true" outlineLevel="0" collapsed="false">
      <c r="A6" s="80"/>
      <c r="B6" s="80"/>
      <c r="C6" s="80"/>
      <c r="D6" s="81" t="s">
        <v>472</v>
      </c>
      <c r="E6" s="80"/>
      <c r="F6" s="80"/>
      <c r="G6" s="80"/>
    </row>
    <row r="7" customFormat="false" ht="75.75" hidden="false" customHeight="true" outlineLevel="0" collapsed="false">
      <c r="A7" s="9" t="s">
        <v>347</v>
      </c>
      <c r="B7" s="9" t="s">
        <v>473</v>
      </c>
      <c r="C7" s="9" t="s">
        <v>474</v>
      </c>
      <c r="D7" s="68" t="s">
        <v>475</v>
      </c>
      <c r="E7" s="69" t="s">
        <v>476</v>
      </c>
      <c r="F7" s="69" t="s">
        <v>477</v>
      </c>
      <c r="G7" s="69" t="s">
        <v>478</v>
      </c>
    </row>
    <row r="8" customFormat="false" ht="15" hidden="false" customHeight="true" outlineLevel="0" collapsed="false">
      <c r="A8" s="80"/>
      <c r="B8" s="80"/>
      <c r="C8" s="80"/>
      <c r="D8" s="81" t="s">
        <v>479</v>
      </c>
      <c r="E8" s="80"/>
      <c r="F8" s="80"/>
      <c r="G8" s="80"/>
    </row>
    <row r="9" customFormat="false" ht="75.75" hidden="false" customHeight="true" outlineLevel="0" collapsed="false">
      <c r="A9" s="9" t="s">
        <v>351</v>
      </c>
      <c r="B9" s="9" t="s">
        <v>480</v>
      </c>
      <c r="C9" s="9" t="s">
        <v>481</v>
      </c>
      <c r="D9" s="68" t="s">
        <v>482</v>
      </c>
      <c r="E9" s="69" t="s">
        <v>483</v>
      </c>
      <c r="F9" s="69" t="s">
        <v>477</v>
      </c>
      <c r="G9" s="69" t="s">
        <v>484</v>
      </c>
    </row>
    <row r="10" customFormat="false" ht="15" hidden="false" customHeight="true" outlineLevel="0" collapsed="false">
      <c r="A10" s="80"/>
      <c r="B10" s="80"/>
      <c r="C10" s="80"/>
      <c r="D10" s="81" t="s">
        <v>485</v>
      </c>
      <c r="E10" s="80"/>
      <c r="F10" s="80"/>
      <c r="G10" s="80"/>
    </row>
    <row r="11" customFormat="false" ht="75.75" hidden="false" customHeight="true" outlineLevel="0" collapsed="false">
      <c r="A11" s="9" t="s">
        <v>355</v>
      </c>
      <c r="B11" s="9" t="s">
        <v>486</v>
      </c>
      <c r="C11" s="9" t="s">
        <v>487</v>
      </c>
      <c r="D11" s="68" t="s">
        <v>488</v>
      </c>
      <c r="E11" s="69" t="s">
        <v>489</v>
      </c>
      <c r="F11" s="69" t="s">
        <v>490</v>
      </c>
      <c r="G11" s="69" t="s">
        <v>491</v>
      </c>
    </row>
    <row r="12" customFormat="false" ht="15" hidden="false" customHeight="true" outlineLevel="0" collapsed="false">
      <c r="A12" s="80"/>
      <c r="B12" s="80"/>
      <c r="C12" s="80"/>
      <c r="D12" s="81" t="s">
        <v>492</v>
      </c>
      <c r="E12" s="80"/>
      <c r="F12" s="80"/>
      <c r="G12" s="80"/>
    </row>
    <row r="13" customFormat="false" ht="75.75" hidden="false" customHeight="true" outlineLevel="0" collapsed="false">
      <c r="A13" s="9" t="s">
        <v>493</v>
      </c>
      <c r="B13" s="9" t="s">
        <v>494</v>
      </c>
      <c r="C13" s="9" t="s">
        <v>495</v>
      </c>
      <c r="D13" s="68" t="s">
        <v>496</v>
      </c>
      <c r="E13" s="69" t="s">
        <v>497</v>
      </c>
      <c r="F13" s="69" t="s">
        <v>498</v>
      </c>
      <c r="G13" s="69" t="s">
        <v>499</v>
      </c>
    </row>
    <row r="14" customFormat="false" ht="15" hidden="false" customHeight="true" outlineLevel="0" collapsed="false">
      <c r="A14" s="80"/>
      <c r="B14" s="80"/>
      <c r="C14" s="80"/>
      <c r="D14" s="81" t="s">
        <v>500</v>
      </c>
      <c r="E14" s="80"/>
      <c r="F14" s="80"/>
      <c r="G14" s="80"/>
    </row>
    <row r="16" customFormat="false" ht="15" hidden="false" customHeight="true" outlineLevel="0" collapsed="false">
      <c r="A16" s="62" t="s">
        <v>501</v>
      </c>
    </row>
    <row r="17" customFormat="false" ht="15" hidden="false" customHeight="true" outlineLevel="0" collapsed="false">
      <c r="A17" s="62" t="s">
        <v>502</v>
      </c>
    </row>
    <row r="18" customFormat="false" ht="15" hidden="false" customHeight="true" outlineLevel="0" collapsed="false">
      <c r="A18" s="62" t="s">
        <v>503</v>
      </c>
    </row>
    <row r="19" customFormat="false" ht="15" hidden="false" customHeight="true" outlineLevel="0" collapsed="false">
      <c r="A19" s="62" t="s">
        <v>504</v>
      </c>
    </row>
  </sheetData>
  <mergeCells count="1">
    <mergeCell ref="A2:G2"/>
  </mergeCells>
  <hyperlinks>
    <hyperlink ref="D6" r:id="rId1" display="https://bjn.com.pl/25km/"/>
    <hyperlink ref="D8" r:id="rId2" display="https://przejsciekotliny.org/"/>
    <hyperlink ref="D10" r:id="rId3" display="https://ultrakotlina.pl/"/>
    <hyperlink ref="D12" r:id="rId4" display="https://b4sportonline.pl/sfb2026/"/>
    <hyperlink ref="D14" r:id="rId5" display="https://motivato.pl/kalendarz-biegowy/biegi-gorski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6"/>
    <col collapsed="false" customWidth="true" hidden="false" outlineLevel="0" max="5" min="5" style="1" width="46"/>
    <col collapsed="false" customWidth="true" hidden="false" outlineLevel="0" max="6" min="6" style="1" width="66"/>
    <col collapsed="false" customWidth="true" hidden="false" outlineLevel="0" max="7" min="7" style="1" width="46"/>
    <col collapsed="false" customWidth="true" hidden="false" outlineLevel="0" max="8" min="8" style="1" width="22"/>
    <col collapsed="false" customWidth="true" hidden="false" outlineLevel="0" max="9" min="9" style="1" width="46"/>
  </cols>
  <sheetData>
    <row r="1" customFormat="false" ht="18" hidden="false" customHeight="true" outlineLevel="0" collapsed="false">
      <c r="A1" s="2" t="s">
        <v>505</v>
      </c>
    </row>
    <row r="2" customFormat="false" ht="15" hidden="false" customHeight="true" outlineLevel="0" collapsed="false">
      <c r="A2" s="82" t="s">
        <v>506</v>
      </c>
      <c r="B2" s="82"/>
      <c r="C2" s="82"/>
      <c r="D2" s="82"/>
      <c r="E2" s="82"/>
      <c r="F2" s="82"/>
      <c r="G2" s="82"/>
      <c r="H2" s="82"/>
      <c r="I2" s="82"/>
    </row>
    <row r="4" customFormat="false" ht="19.5" hidden="false" customHeight="true" outlineLevel="0" collapsed="false">
      <c r="A4" s="83" t="s">
        <v>507</v>
      </c>
      <c r="B4" s="84"/>
      <c r="C4" s="84"/>
      <c r="D4" s="84"/>
      <c r="E4" s="84"/>
      <c r="F4" s="84"/>
      <c r="G4" s="84"/>
      <c r="H4" s="84"/>
      <c r="I4" s="84"/>
    </row>
    <row r="5" customFormat="false" ht="31.5" hidden="false" customHeight="true" outlineLevel="0" collapsed="false">
      <c r="A5" s="6" t="s">
        <v>508</v>
      </c>
      <c r="B5" s="6" t="s">
        <v>509</v>
      </c>
      <c r="C5" s="6" t="s">
        <v>510</v>
      </c>
      <c r="D5" s="6" t="s">
        <v>511</v>
      </c>
      <c r="E5" s="6" t="s">
        <v>512</v>
      </c>
      <c r="F5" s="6" t="s">
        <v>513</v>
      </c>
      <c r="G5" s="6" t="s">
        <v>514</v>
      </c>
      <c r="H5" s="6" t="s">
        <v>515</v>
      </c>
      <c r="I5" s="6" t="s">
        <v>516</v>
      </c>
    </row>
    <row r="6" customFormat="false" ht="91.5" hidden="false" customHeight="true" outlineLevel="0" collapsed="false">
      <c r="A6" s="25" t="s">
        <v>343</v>
      </c>
      <c r="B6" s="85" t="s">
        <v>517</v>
      </c>
      <c r="C6" s="69" t="s">
        <v>518</v>
      </c>
      <c r="D6" s="69" t="s">
        <v>519</v>
      </c>
      <c r="E6" s="69" t="s">
        <v>520</v>
      </c>
      <c r="F6" s="69" t="s">
        <v>521</v>
      </c>
      <c r="G6" s="69" t="s">
        <v>522</v>
      </c>
      <c r="H6" s="69" t="s">
        <v>523</v>
      </c>
      <c r="I6" s="69" t="s">
        <v>524</v>
      </c>
    </row>
    <row r="7" customFormat="false" ht="91.5" hidden="false" customHeight="true" outlineLevel="0" collapsed="false">
      <c r="A7" s="25" t="s">
        <v>347</v>
      </c>
      <c r="B7" s="85" t="s">
        <v>525</v>
      </c>
      <c r="C7" s="69" t="s">
        <v>526</v>
      </c>
      <c r="D7" s="69" t="s">
        <v>527</v>
      </c>
      <c r="E7" s="69" t="s">
        <v>528</v>
      </c>
      <c r="F7" s="69" t="s">
        <v>529</v>
      </c>
      <c r="G7" s="69" t="s">
        <v>530</v>
      </c>
      <c r="H7" s="69" t="s">
        <v>531</v>
      </c>
      <c r="I7" s="69" t="s">
        <v>532</v>
      </c>
    </row>
    <row r="8" customFormat="false" ht="91.5" hidden="false" customHeight="true" outlineLevel="0" collapsed="false">
      <c r="A8" s="25" t="s">
        <v>351</v>
      </c>
      <c r="B8" s="85" t="s">
        <v>533</v>
      </c>
      <c r="C8" s="69" t="s">
        <v>534</v>
      </c>
      <c r="D8" s="69" t="s">
        <v>535</v>
      </c>
      <c r="E8" s="69" t="s">
        <v>536</v>
      </c>
      <c r="F8" s="69" t="s">
        <v>537</v>
      </c>
      <c r="G8" s="69" t="s">
        <v>538</v>
      </c>
      <c r="H8" s="69" t="s">
        <v>539</v>
      </c>
      <c r="I8" s="69" t="s">
        <v>540</v>
      </c>
    </row>
    <row r="9" customFormat="false" ht="91.5" hidden="false" customHeight="true" outlineLevel="0" collapsed="false">
      <c r="A9" s="25" t="s">
        <v>355</v>
      </c>
      <c r="B9" s="85" t="s">
        <v>541</v>
      </c>
      <c r="C9" s="69" t="s">
        <v>542</v>
      </c>
      <c r="D9" s="69" t="s">
        <v>543</v>
      </c>
      <c r="E9" s="69" t="s">
        <v>544</v>
      </c>
      <c r="F9" s="69" t="s">
        <v>545</v>
      </c>
      <c r="G9" s="69" t="s">
        <v>546</v>
      </c>
      <c r="H9" s="69" t="s">
        <v>547</v>
      </c>
      <c r="I9" s="69" t="s">
        <v>548</v>
      </c>
    </row>
    <row r="10" customFormat="false" ht="91.5" hidden="false" customHeight="true" outlineLevel="0" collapsed="false">
      <c r="A10" s="25" t="s">
        <v>493</v>
      </c>
      <c r="B10" s="85" t="s">
        <v>549</v>
      </c>
      <c r="C10" s="69" t="s">
        <v>518</v>
      </c>
      <c r="D10" s="69" t="s">
        <v>550</v>
      </c>
      <c r="E10" s="69" t="s">
        <v>551</v>
      </c>
      <c r="F10" s="69" t="s">
        <v>552</v>
      </c>
      <c r="G10" s="69" t="s">
        <v>553</v>
      </c>
      <c r="H10" s="69" t="s">
        <v>554</v>
      </c>
      <c r="I10" s="69" t="s">
        <v>555</v>
      </c>
    </row>
    <row r="11" customFormat="false" ht="91.5" hidden="false" customHeight="true" outlineLevel="0" collapsed="false">
      <c r="A11" s="25" t="s">
        <v>556</v>
      </c>
      <c r="B11" s="85" t="s">
        <v>557</v>
      </c>
      <c r="C11" s="69" t="s">
        <v>558</v>
      </c>
      <c r="D11" s="69" t="s">
        <v>559</v>
      </c>
      <c r="E11" s="69" t="s">
        <v>560</v>
      </c>
      <c r="F11" s="69" t="s">
        <v>561</v>
      </c>
      <c r="G11" s="69" t="s">
        <v>562</v>
      </c>
      <c r="H11" s="69" t="s">
        <v>563</v>
      </c>
      <c r="I11" s="69" t="s">
        <v>564</v>
      </c>
    </row>
    <row r="12" customFormat="false" ht="91.5" hidden="false" customHeight="true" outlineLevel="0" collapsed="false">
      <c r="A12" s="25" t="s">
        <v>60</v>
      </c>
      <c r="B12" s="85" t="s">
        <v>565</v>
      </c>
      <c r="C12" s="69" t="s">
        <v>566</v>
      </c>
      <c r="D12" s="69" t="s">
        <v>567</v>
      </c>
      <c r="E12" s="69" t="s">
        <v>568</v>
      </c>
      <c r="F12" s="69" t="s">
        <v>569</v>
      </c>
      <c r="G12" s="69" t="s">
        <v>570</v>
      </c>
      <c r="H12" s="69" t="s">
        <v>571</v>
      </c>
      <c r="I12" s="69" t="s">
        <v>572</v>
      </c>
    </row>
    <row r="13" customFormat="false" ht="91.5" hidden="false" customHeight="true" outlineLevel="0" collapsed="false">
      <c r="A13" s="25" t="s">
        <v>62</v>
      </c>
      <c r="B13" s="85" t="s">
        <v>573</v>
      </c>
      <c r="C13" s="69" t="s">
        <v>574</v>
      </c>
      <c r="D13" s="69" t="s">
        <v>575</v>
      </c>
      <c r="E13" s="69" t="s">
        <v>576</v>
      </c>
      <c r="F13" s="69" t="s">
        <v>577</v>
      </c>
      <c r="G13" s="69" t="s">
        <v>578</v>
      </c>
      <c r="H13" s="69" t="s">
        <v>579</v>
      </c>
      <c r="I13" s="69" t="s">
        <v>580</v>
      </c>
    </row>
    <row r="15" customFormat="false" ht="19.5" hidden="false" customHeight="true" outlineLevel="0" collapsed="false">
      <c r="A15" s="83" t="s">
        <v>581</v>
      </c>
      <c r="B15" s="84"/>
      <c r="C15" s="84"/>
      <c r="D15" s="84"/>
      <c r="E15" s="84"/>
      <c r="F15" s="84"/>
      <c r="G15" s="84"/>
      <c r="H15" s="84"/>
      <c r="I15" s="84"/>
    </row>
    <row r="16" customFormat="false" ht="31.5" hidden="false" customHeight="true" outlineLevel="0" collapsed="false">
      <c r="A16" s="6" t="s">
        <v>508</v>
      </c>
      <c r="B16" s="6" t="s">
        <v>509</v>
      </c>
      <c r="C16" s="6" t="s">
        <v>510</v>
      </c>
      <c r="D16" s="6" t="s">
        <v>511</v>
      </c>
      <c r="E16" s="6" t="s">
        <v>512</v>
      </c>
      <c r="F16" s="6" t="s">
        <v>513</v>
      </c>
      <c r="G16" s="6" t="s">
        <v>514</v>
      </c>
      <c r="H16" s="6" t="s">
        <v>515</v>
      </c>
      <c r="I16" s="6" t="s">
        <v>516</v>
      </c>
    </row>
    <row r="17" customFormat="false" ht="91.5" hidden="false" customHeight="true" outlineLevel="0" collapsed="false">
      <c r="A17" s="25"/>
      <c r="B17" s="85" t="s">
        <v>582</v>
      </c>
      <c r="C17" s="69" t="s">
        <v>583</v>
      </c>
      <c r="D17" s="69"/>
      <c r="E17" s="69" t="s">
        <v>584</v>
      </c>
      <c r="F17" s="69" t="s">
        <v>585</v>
      </c>
      <c r="G17" s="69" t="s">
        <v>586</v>
      </c>
      <c r="H17" s="69" t="s">
        <v>396</v>
      </c>
      <c r="I17" s="69" t="s">
        <v>587</v>
      </c>
    </row>
    <row r="18" customFormat="false" ht="91.5" hidden="false" customHeight="true" outlineLevel="0" collapsed="false">
      <c r="A18" s="25"/>
      <c r="B18" s="85" t="s">
        <v>588</v>
      </c>
      <c r="C18" s="69" t="s">
        <v>589</v>
      </c>
      <c r="D18" s="69"/>
      <c r="E18" s="69" t="s">
        <v>590</v>
      </c>
      <c r="F18" s="69" t="s">
        <v>591</v>
      </c>
      <c r="G18" s="69" t="s">
        <v>592</v>
      </c>
      <c r="H18" s="69" t="s">
        <v>593</v>
      </c>
      <c r="I18" s="69" t="s">
        <v>594</v>
      </c>
    </row>
    <row r="20" customFormat="false" ht="19.5" hidden="false" customHeight="true" outlineLevel="0" collapsed="false">
      <c r="A20" s="83" t="s">
        <v>595</v>
      </c>
      <c r="B20" s="84"/>
      <c r="C20" s="84"/>
      <c r="D20" s="84"/>
      <c r="E20" s="84"/>
      <c r="F20" s="84"/>
      <c r="G20" s="84"/>
      <c r="H20" s="84"/>
      <c r="I20" s="84"/>
    </row>
    <row r="21" customFormat="false" ht="25.5" hidden="false" customHeight="true" outlineLevel="0" collapsed="false">
      <c r="A21" s="6" t="s">
        <v>596</v>
      </c>
      <c r="B21" s="6" t="s">
        <v>597</v>
      </c>
      <c r="C21" s="6" t="s">
        <v>598</v>
      </c>
      <c r="D21" s="6" t="s">
        <v>599</v>
      </c>
    </row>
    <row r="22" customFormat="false" ht="42" hidden="false" customHeight="true" outlineLevel="0" collapsed="false">
      <c r="A22" s="85" t="s">
        <v>600</v>
      </c>
      <c r="B22" s="69" t="s">
        <v>601</v>
      </c>
      <c r="C22" s="69" t="s">
        <v>602</v>
      </c>
      <c r="D22" s="69" t="s">
        <v>603</v>
      </c>
    </row>
    <row r="23" customFormat="false" ht="42" hidden="false" customHeight="true" outlineLevel="0" collapsed="false">
      <c r="A23" s="85" t="s">
        <v>604</v>
      </c>
      <c r="B23" s="69" t="s">
        <v>605</v>
      </c>
      <c r="C23" s="69" t="s">
        <v>606</v>
      </c>
      <c r="D23" s="69" t="s">
        <v>603</v>
      </c>
    </row>
    <row r="24" customFormat="false" ht="42" hidden="false" customHeight="true" outlineLevel="0" collapsed="false">
      <c r="A24" s="85" t="s">
        <v>607</v>
      </c>
      <c r="B24" s="69" t="s">
        <v>608</v>
      </c>
      <c r="C24" s="69" t="s">
        <v>609</v>
      </c>
      <c r="D24" s="69" t="s">
        <v>610</v>
      </c>
    </row>
    <row r="25" customFormat="false" ht="42" hidden="false" customHeight="true" outlineLevel="0" collapsed="false">
      <c r="A25" s="85" t="s">
        <v>611</v>
      </c>
      <c r="B25" s="69" t="s">
        <v>612</v>
      </c>
      <c r="C25" s="69" t="s">
        <v>613</v>
      </c>
      <c r="D25" s="69" t="s">
        <v>614</v>
      </c>
    </row>
    <row r="26" customFormat="false" ht="42" hidden="false" customHeight="true" outlineLevel="0" collapsed="false">
      <c r="A26" s="85" t="s">
        <v>615</v>
      </c>
      <c r="B26" s="69" t="s">
        <v>616</v>
      </c>
      <c r="C26" s="69" t="s">
        <v>617</v>
      </c>
      <c r="D26" s="69" t="s">
        <v>618</v>
      </c>
    </row>
    <row r="27" customFormat="false" ht="42" hidden="false" customHeight="true" outlineLevel="0" collapsed="false">
      <c r="A27" s="85" t="s">
        <v>619</v>
      </c>
      <c r="B27" s="69" t="s">
        <v>620</v>
      </c>
      <c r="C27" s="69" t="s">
        <v>621</v>
      </c>
      <c r="D27" s="69" t="s">
        <v>622</v>
      </c>
    </row>
    <row r="28" customFormat="false" ht="42" hidden="false" customHeight="true" outlineLevel="0" collapsed="false">
      <c r="A28" s="85" t="s">
        <v>623</v>
      </c>
      <c r="B28" s="69" t="s">
        <v>624</v>
      </c>
      <c r="C28" s="69" t="s">
        <v>625</v>
      </c>
      <c r="D28" s="69" t="s">
        <v>626</v>
      </c>
    </row>
    <row r="29" customFormat="false" ht="42" hidden="false" customHeight="true" outlineLevel="0" collapsed="false">
      <c r="A29" s="85" t="s">
        <v>627</v>
      </c>
      <c r="B29" s="69" t="s">
        <v>628</v>
      </c>
      <c r="C29" s="69" t="s">
        <v>629</v>
      </c>
      <c r="D29" s="69" t="s">
        <v>630</v>
      </c>
    </row>
    <row r="31" customFormat="false" ht="15" hidden="false" customHeight="true" outlineLevel="0" collapsed="false">
      <c r="A31" s="62" t="s">
        <v>631</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2026-08-28T05:31:09Z</dcterms:created>
  <dc:creator>openpyxl</dc:creator>
  <dc:description/>
  <dc:language>en-US</dc:language>
  <cp:lastModifiedBy/>
  <dcterms:modified xsi:type="dcterms:W3CDTF">2026-08-28T05:33:46Z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